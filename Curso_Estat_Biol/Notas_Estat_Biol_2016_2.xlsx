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000Estatistica-Biologia2016\0-Notas e provas\"/>
    </mc:Choice>
  </mc:AlternateContent>
  <bookViews>
    <workbookView xWindow="12756" yWindow="0" windowWidth="8736" windowHeight="5400" tabRatio="992" activeTab="1"/>
  </bookViews>
  <sheets>
    <sheet name="Notas" sheetId="1" r:id="rId1"/>
    <sheet name="Impressão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45" i="1" l="1"/>
  <c r="AI45" i="1" s="1"/>
  <c r="AH18" i="1"/>
  <c r="AI18" i="1" s="1"/>
  <c r="AH17" i="1"/>
  <c r="AI17" i="1" s="1"/>
  <c r="AH49" i="1"/>
  <c r="AI49" i="1" s="1"/>
  <c r="AH12" i="1"/>
  <c r="AI12" i="1" s="1"/>
  <c r="AH51" i="1"/>
  <c r="AI51" i="1" s="1"/>
  <c r="AH48" i="1"/>
  <c r="AI48" i="1" s="1"/>
  <c r="AH14" i="1"/>
  <c r="AI14" i="1" s="1"/>
  <c r="AH11" i="1"/>
  <c r="AI11" i="1" s="1"/>
  <c r="AH10" i="1"/>
  <c r="AI10" i="1" s="1"/>
  <c r="AH32" i="1"/>
  <c r="AI32" i="1" s="1"/>
  <c r="I34" i="1"/>
  <c r="AH34" i="1"/>
  <c r="AH54" i="1"/>
  <c r="AI54" i="1" s="1"/>
  <c r="AH40" i="1"/>
  <c r="AI40" i="1" s="1"/>
  <c r="AH46" i="1"/>
  <c r="AI46" i="1" s="1"/>
  <c r="W46" i="1" l="1"/>
  <c r="W31" i="1"/>
  <c r="W51" i="1"/>
  <c r="W14" i="1"/>
  <c r="W49" i="1"/>
  <c r="W30" i="1"/>
  <c r="W54" i="1"/>
  <c r="W18" i="1"/>
  <c r="W21" i="1"/>
  <c r="W12" i="1"/>
  <c r="W53" i="1"/>
  <c r="W17" i="1"/>
  <c r="W11" i="1"/>
  <c r="W50" i="1"/>
  <c r="W33" i="1"/>
  <c r="W19" i="1"/>
  <c r="W48" i="1"/>
  <c r="W34" i="1"/>
  <c r="W40" i="1"/>
  <c r="P61" i="1" l="1"/>
  <c r="P34" i="1" l="1"/>
  <c r="Y34" i="1" s="1"/>
  <c r="AI34" i="1" s="1"/>
  <c r="W57" i="1" l="1"/>
  <c r="P57" i="1"/>
  <c r="I57" i="1"/>
  <c r="Y57" i="1" s="1"/>
  <c r="P56" i="1"/>
  <c r="P55" i="1"/>
  <c r="I55" i="1"/>
  <c r="P54" i="1"/>
  <c r="I54" i="1"/>
  <c r="Y54" i="1" s="1"/>
  <c r="P53" i="1"/>
  <c r="Y53" i="1" s="1"/>
  <c r="W52" i="1"/>
  <c r="P52" i="1"/>
  <c r="I52" i="1"/>
  <c r="P51" i="1"/>
  <c r="I51" i="1"/>
  <c r="Y51" i="1" s="1"/>
  <c r="P50" i="1"/>
  <c r="I50" i="1"/>
  <c r="Y50" i="1" s="1"/>
  <c r="I49" i="1"/>
  <c r="Y49" i="1" s="1"/>
  <c r="P48" i="1"/>
  <c r="I48" i="1"/>
  <c r="Y48" i="1" s="1"/>
  <c r="P47" i="1"/>
  <c r="I47" i="1"/>
  <c r="P46" i="1"/>
  <c r="I46" i="1"/>
  <c r="W45" i="1"/>
  <c r="P45" i="1"/>
  <c r="I45" i="1"/>
  <c r="AH44" i="1"/>
  <c r="W44" i="1"/>
  <c r="P44" i="1"/>
  <c r="I44" i="1"/>
  <c r="W43" i="1"/>
  <c r="P43" i="1"/>
  <c r="Y43" i="1" s="1"/>
  <c r="I43" i="1"/>
  <c r="P42" i="1"/>
  <c r="P41" i="1"/>
  <c r="I41" i="1"/>
  <c r="P40" i="1"/>
  <c r="I40" i="1"/>
  <c r="Y40" i="1" s="1"/>
  <c r="P39" i="1"/>
  <c r="I39" i="1"/>
  <c r="P38" i="1"/>
  <c r="I38" i="1"/>
  <c r="Y38" i="1" s="1"/>
  <c r="W37" i="1"/>
  <c r="P37" i="1"/>
  <c r="I37" i="1"/>
  <c r="P36" i="1"/>
  <c r="W35" i="1"/>
  <c r="Y35" i="1" s="1"/>
  <c r="P35" i="1"/>
  <c r="I35" i="1"/>
  <c r="P33" i="1"/>
  <c r="I33" i="1"/>
  <c r="Y33" i="1" s="1"/>
  <c r="W32" i="1"/>
  <c r="P32" i="1"/>
  <c r="I32" i="1"/>
  <c r="P31" i="1"/>
  <c r="I31" i="1"/>
  <c r="P30" i="1"/>
  <c r="I30" i="1"/>
  <c r="Y30" i="1" s="1"/>
  <c r="W29" i="1"/>
  <c r="P29" i="1"/>
  <c r="I29" i="1"/>
  <c r="AH28" i="1"/>
  <c r="W28" i="1"/>
  <c r="P28" i="1"/>
  <c r="I28" i="1"/>
  <c r="W27" i="1"/>
  <c r="P27" i="1"/>
  <c r="I27" i="1"/>
  <c r="P26" i="1"/>
  <c r="I26" i="1"/>
  <c r="P25" i="1"/>
  <c r="I25" i="1"/>
  <c r="W24" i="1"/>
  <c r="P24" i="1"/>
  <c r="I24" i="1"/>
  <c r="Y24" i="1" s="1"/>
  <c r="W23" i="1"/>
  <c r="P23" i="1"/>
  <c r="I23" i="1"/>
  <c r="Y23" i="1" s="1"/>
  <c r="W22" i="1"/>
  <c r="P22" i="1"/>
  <c r="I22" i="1"/>
  <c r="P21" i="1"/>
  <c r="I21" i="1"/>
  <c r="Y21" i="1" s="1"/>
  <c r="W20" i="1"/>
  <c r="P20" i="1"/>
  <c r="I20" i="1"/>
  <c r="P19" i="1"/>
  <c r="I19" i="1"/>
  <c r="P18" i="1"/>
  <c r="I18" i="1"/>
  <c r="Y18" i="1" s="1"/>
  <c r="P17" i="1"/>
  <c r="I17" i="1"/>
  <c r="AH16" i="1"/>
  <c r="W16" i="1"/>
  <c r="P16" i="1"/>
  <c r="I16" i="1"/>
  <c r="W15" i="1"/>
  <c r="P15" i="1"/>
  <c r="I15" i="1"/>
  <c r="P14" i="1"/>
  <c r="I14" i="1"/>
  <c r="Y14" i="1" s="1"/>
  <c r="AH13" i="1"/>
  <c r="W13" i="1"/>
  <c r="P13" i="1"/>
  <c r="I13" i="1"/>
  <c r="P12" i="1"/>
  <c r="I12" i="1"/>
  <c r="Y12" i="1" s="1"/>
  <c r="P11" i="1"/>
  <c r="I11" i="1"/>
  <c r="Y11" i="1" s="1"/>
  <c r="W10" i="1"/>
  <c r="P10" i="1"/>
  <c r="I10" i="1"/>
  <c r="W9" i="1"/>
  <c r="P9" i="1"/>
  <c r="I9" i="1"/>
  <c r="P8" i="1"/>
  <c r="I8" i="1"/>
  <c r="W7" i="1"/>
  <c r="P7" i="1"/>
  <c r="I7" i="1"/>
  <c r="W6" i="1"/>
  <c r="P6" i="1"/>
  <c r="I6" i="1"/>
  <c r="Y6" i="1" s="1"/>
  <c r="Y37" i="1" l="1"/>
  <c r="Y20" i="1"/>
  <c r="Y28" i="1"/>
  <c r="AI28" i="1" s="1"/>
  <c r="Y46" i="1"/>
  <c r="Y7" i="1"/>
  <c r="Y17" i="1"/>
  <c r="Y19" i="1"/>
  <c r="Y27" i="1"/>
  <c r="Y31" i="1"/>
  <c r="Y44" i="1"/>
  <c r="AI44" i="1" s="1"/>
  <c r="Y22" i="1"/>
  <c r="Y13" i="1"/>
  <c r="AI13" i="1" s="1"/>
  <c r="Y52" i="1"/>
  <c r="Y10" i="1"/>
  <c r="Y16" i="1"/>
  <c r="AI16" i="1" s="1"/>
  <c r="Y32" i="1"/>
  <c r="Y45" i="1"/>
  <c r="Y9" i="1"/>
  <c r="Y15" i="1"/>
  <c r="Y29" i="1"/>
</calcChain>
</file>

<file path=xl/sharedStrings.xml><?xml version="1.0" encoding="utf-8"?>
<sst xmlns="http://schemas.openxmlformats.org/spreadsheetml/2006/main" count="396" uniqueCount="99">
  <si>
    <t>Estatística</t>
  </si>
  <si>
    <t>Prof. Maurício Camargo</t>
  </si>
  <si>
    <t>PROVA 1 (peso 2)</t>
  </si>
  <si>
    <t>PROVA 2 (peso 4)</t>
  </si>
  <si>
    <t>Prova 3 (peso 4)</t>
  </si>
  <si>
    <t>Máx=1,5</t>
  </si>
  <si>
    <t>Máx=10</t>
  </si>
  <si>
    <t>EXAME</t>
  </si>
  <si>
    <t>ID</t>
  </si>
  <si>
    <t>ALUNO</t>
  </si>
  <si>
    <t>MATRI</t>
  </si>
  <si>
    <t>CURSO</t>
  </si>
  <si>
    <t>F</t>
  </si>
  <si>
    <t>Q1</t>
  </si>
  <si>
    <t>Q2</t>
  </si>
  <si>
    <t>Q3</t>
  </si>
  <si>
    <t>Nota1</t>
  </si>
  <si>
    <t>Q4</t>
  </si>
  <si>
    <t>Q5</t>
  </si>
  <si>
    <t>Nota2</t>
  </si>
  <si>
    <t>Nota3</t>
  </si>
  <si>
    <t>Q6</t>
  </si>
  <si>
    <t>Q7</t>
  </si>
  <si>
    <t>Exame</t>
  </si>
  <si>
    <t>NOTA FINAL</t>
  </si>
  <si>
    <t>ANA AMARAL WASIELESKY</t>
  </si>
  <si>
    <t>ANDREIA ROSA DE AVILA DE</t>
  </si>
  <si>
    <t>BEATRIZ FARIAS MELO</t>
  </si>
  <si>
    <t>BRUNA ROGERIO DE ABREU</t>
  </si>
  <si>
    <t>BRUNO AUGUSTO SILVA</t>
  </si>
  <si>
    <t>CAMILA MAXIMO LEONOR</t>
  </si>
  <si>
    <t>CATIUSSIA LIMA DOS SANTOS</t>
  </si>
  <si>
    <t>DIEGO SCHUCH RODRIGUES</t>
  </si>
  <si>
    <t>EDUARDO DA SILVA PRIETSCH</t>
  </si>
  <si>
    <t>EMMANUELLE FONTOURA MACHADO</t>
  </si>
  <si>
    <t>EVELYN CINDY DO COUTO SCHENQUE</t>
  </si>
  <si>
    <t>Aprovada</t>
  </si>
  <si>
    <t>FABIANE FAGUNDES DA FONSECA</t>
  </si>
  <si>
    <t>FERNANDA MENDONCA SILVEIRA</t>
  </si>
  <si>
    <t>GABRIELA COSTA MARTINS</t>
  </si>
  <si>
    <t>GUSTAVO CESAR DE ALBUQUERQUE</t>
  </si>
  <si>
    <t>INGRID SCHOMMER PENHA</t>
  </si>
  <si>
    <t>JESSICA LEAL MUNHOZ</t>
  </si>
  <si>
    <t>JESSICA SAN MARTINS FONSECA</t>
  </si>
  <si>
    <t>JESSIKA LAVALL LOPES</t>
  </si>
  <si>
    <t>JOCARLOS GOULART ALBERTON</t>
  </si>
  <si>
    <t>JULIA DE OLIVEIRA GONZALEZ</t>
  </si>
  <si>
    <t>JULIE BERTUOL DA SILVA</t>
  </si>
  <si>
    <t>LAINIDE APARECIDA DE OLIVEIRA</t>
  </si>
  <si>
    <t>LAISA CRISTINA DOS SANTOS</t>
  </si>
  <si>
    <t>LARISSA BANDEIRA MACIEL</t>
  </si>
  <si>
    <t>LEANDRA JARDIM DA SILVA</t>
  </si>
  <si>
    <t>LORNA SANTOS SOUZA LEMA GARCIA</t>
  </si>
  <si>
    <t>LUCAS BAPTISTA DUARTE</t>
  </si>
  <si>
    <t>LUCAS MORAES DE OLIVEIRA</t>
  </si>
  <si>
    <t>LUCAS SILVEIRA VEIGA</t>
  </si>
  <si>
    <t>MARIANA GABRIELLA FONTES AMORIM</t>
  </si>
  <si>
    <t>MARINA BAZILIO MILFORD</t>
  </si>
  <si>
    <t>MARINA ESPIRITO SANTO CAMPELLO</t>
  </si>
  <si>
    <t>MATEUS PUPPIM ARMOUR</t>
  </si>
  <si>
    <t>MAURICIO NAZARETE LOPES</t>
  </si>
  <si>
    <t>MOISES RODRIGUES DA SILVA</t>
  </si>
  <si>
    <t>NATALIA LETICIA GABBI</t>
  </si>
  <si>
    <t>NATHALIA XAVIER MAIO</t>
  </si>
  <si>
    <t>PAMELA BORTOLUZZI RAMSON</t>
  </si>
  <si>
    <t>RAMON SANTOS ROCHA RAMOS</t>
  </si>
  <si>
    <t>RENATA ANTUNES PORTIS</t>
  </si>
  <si>
    <t>ROSANA RIBEIRO DA COSTA</t>
  </si>
  <si>
    <t>SABRINA DE BASTOS MAYA</t>
  </si>
  <si>
    <t>SAGESSE ILUNGA KALALA</t>
  </si>
  <si>
    <t>TAIANE HEBLING GUIMARÃES DUARTE</t>
  </si>
  <si>
    <t>TAINA MACHADO ANCA</t>
  </si>
  <si>
    <t>TAMIRIS TAROUCO CORREA</t>
  </si>
  <si>
    <t>THAIS LOPES OYARZABAL</t>
  </si>
  <si>
    <t>THALES HENRIQUE GERMANN</t>
  </si>
  <si>
    <t>VICTOR GEORGES SANTOS ELGAMAL</t>
  </si>
  <si>
    <t>VIVIANE CONCEICAO DUARTE DE</t>
  </si>
  <si>
    <t>YASMIN CASTILLOS DE IBRAHIM DAS</t>
  </si>
  <si>
    <t>Média</t>
  </si>
  <si>
    <t>Aprovado</t>
  </si>
  <si>
    <t>Dez</t>
  </si>
  <si>
    <t>Fev</t>
  </si>
  <si>
    <t>Dez e Fev***</t>
  </si>
  <si>
    <t>Notas em fevereiro</t>
  </si>
  <si>
    <t>*** Aluno Sagesse fez a prova 2 duas vezes</t>
  </si>
  <si>
    <t>Sumiu prova 1</t>
  </si>
  <si>
    <t>FEv</t>
  </si>
  <si>
    <t>PROVA ESPECIAL</t>
  </si>
  <si>
    <t>ESPECIAL</t>
  </si>
  <si>
    <t xml:space="preserve">Cod </t>
  </si>
  <si>
    <t>"01316"</t>
  </si>
  <si>
    <t>Obs</t>
  </si>
  <si>
    <t>R</t>
  </si>
  <si>
    <t>Mês</t>
  </si>
  <si>
    <t>Reprovada</t>
  </si>
  <si>
    <t>NOTA DISCIPLINA</t>
  </si>
  <si>
    <t>Bim 1</t>
  </si>
  <si>
    <t>Bim 2</t>
  </si>
  <si>
    <t>Cód 01316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</si>
</sst>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>
    <font>
      <sz val="11"/>
      <color rgb="FF000000"/>
      <name val="Bitstream Vera Sans"/>
      <family val="2"/>
      <charset val="1"/>
    </font>
    <font>
      <b/>
      <sz val="11"/>
      <color rgb="FF000000"/>
      <name val="Bitstream Vera Sans"/>
      <family val="2"/>
      <charset val="1"/>
    </font>
    <font>
      <b/>
      <sz val="11"/>
      <color rgb="FF000000"/>
      <name val="Bitstream Vera Sans"/>
    </font>
    <font>
      <sz val="11"/>
      <color rgb="FF000000"/>
      <name val="Bitstream Vera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0" fillId="0" borderId="0" xfId="0" applyFont="1" applyAlignment="1">
      <alignment vertical="center"/>
    </xf>
    <xf numFmtId="2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zoomScale="80" zoomScaleNormal="80" workbookViewId="0">
      <pane xSplit="4" ySplit="4" topLeftCell="J5" activePane="bottomRight" state="frozen"/>
      <selection pane="topRight" activeCell="AA1" sqref="AA1"/>
      <selection pane="bottomLeft" activeCell="A16" sqref="A16"/>
      <selection pane="bottomRight" activeCell="AJ5" sqref="AJ5"/>
    </sheetView>
  </sheetViews>
  <sheetFormatPr defaultRowHeight="13.8"/>
  <cols>
    <col min="1" max="1" width="2.796875"/>
    <col min="2" max="2" width="16.8984375" customWidth="1"/>
    <col min="3" max="3" width="6.69921875"/>
    <col min="4" max="4" width="5.19921875"/>
    <col min="5" max="5" width="5.8984375" style="1" customWidth="1"/>
    <col min="6" max="6" width="3.8984375"/>
    <col min="7" max="7" width="4.09765625"/>
    <col min="8" max="8" width="3.8984375"/>
    <col min="9" max="9" width="6.296875" style="2"/>
    <col min="10" max="10" width="1.5"/>
    <col min="11" max="12" width="3.8984375" style="1"/>
    <col min="13" max="13" width="4.19921875" style="1"/>
    <col min="14" max="15" width="3.8984375" style="1"/>
    <col min="16" max="16" width="6.09765625" style="2"/>
    <col min="17" max="17" width="4.3984375" style="8" customWidth="1"/>
    <col min="18" max="18" width="4.8984375" bestFit="1" customWidth="1"/>
    <col min="19" max="19" width="3.8984375"/>
    <col min="20" max="20" width="2.8984375"/>
    <col min="21" max="22" width="3.8984375"/>
    <col min="23" max="23" width="6.3984375" style="2"/>
    <col min="24" max="24" width="4.09765625" customWidth="1"/>
    <col min="25" max="25" width="10.3984375" style="2" customWidth="1"/>
    <col min="26" max="26" width="6.8984375"/>
    <col min="27" max="27" width="5"/>
    <col min="28" max="29" width="3.796875"/>
    <col min="30" max="30" width="4"/>
    <col min="31" max="32" width="3.796875"/>
    <col min="33" max="33" width="4"/>
    <col min="34" max="34" width="7.3984375" style="2"/>
    <col min="35" max="35" width="8.59765625" style="5"/>
    <col min="36" max="39" width="8.59765625"/>
    <col min="40" max="40" width="8.59765625" style="2"/>
    <col min="41" max="1025" width="8.59765625"/>
  </cols>
  <sheetData>
    <row r="1" spans="1:40" s="2" customFormat="1">
      <c r="B1" s="2" t="s">
        <v>0</v>
      </c>
      <c r="C1" s="2" t="s">
        <v>1</v>
      </c>
      <c r="E1" s="1"/>
      <c r="K1" s="1"/>
      <c r="L1" s="1"/>
      <c r="M1" s="1"/>
      <c r="N1" s="1"/>
      <c r="O1" s="1"/>
      <c r="Q1" s="6" t="s">
        <v>89</v>
      </c>
      <c r="R1" s="2" t="s">
        <v>90</v>
      </c>
      <c r="AI1" s="5"/>
    </row>
    <row r="2" spans="1:40">
      <c r="A2" s="2"/>
      <c r="D2" s="2"/>
      <c r="E2"/>
      <c r="F2" s="2" t="s">
        <v>2</v>
      </c>
      <c r="I2"/>
      <c r="K2"/>
      <c r="L2"/>
      <c r="M2" s="2" t="s">
        <v>3</v>
      </c>
      <c r="N2"/>
      <c r="O2"/>
      <c r="P2"/>
      <c r="R2" s="2"/>
      <c r="S2" s="2" t="s">
        <v>4</v>
      </c>
      <c r="W2"/>
      <c r="Y2"/>
    </row>
    <row r="3" spans="1:40">
      <c r="A3" s="2"/>
      <c r="D3" s="2"/>
      <c r="E3"/>
      <c r="G3" s="2"/>
      <c r="I3" s="2" t="s">
        <v>5</v>
      </c>
      <c r="K3"/>
      <c r="L3"/>
      <c r="M3" s="2"/>
      <c r="N3"/>
      <c r="O3"/>
      <c r="P3" s="2" t="s">
        <v>6</v>
      </c>
      <c r="R3" s="2"/>
      <c r="U3" s="2"/>
      <c r="W3" s="2" t="s">
        <v>6</v>
      </c>
      <c r="Y3"/>
      <c r="AA3" s="2" t="s">
        <v>7</v>
      </c>
    </row>
    <row r="4" spans="1:40">
      <c r="A4" s="2" t="s">
        <v>8</v>
      </c>
      <c r="B4" s="2" t="s">
        <v>9</v>
      </c>
      <c r="C4" s="2" t="s">
        <v>10</v>
      </c>
      <c r="D4" s="2" t="s">
        <v>11</v>
      </c>
      <c r="E4" s="1" t="s">
        <v>91</v>
      </c>
      <c r="F4" s="2" t="s">
        <v>13</v>
      </c>
      <c r="G4" s="2" t="s">
        <v>14</v>
      </c>
      <c r="H4" s="2" t="s">
        <v>15</v>
      </c>
      <c r="I4" s="2" t="s">
        <v>16</v>
      </c>
      <c r="K4" s="1" t="s">
        <v>13</v>
      </c>
      <c r="L4" s="1" t="s">
        <v>14</v>
      </c>
      <c r="M4" s="1" t="s">
        <v>15</v>
      </c>
      <c r="N4" s="1" t="s">
        <v>17</v>
      </c>
      <c r="O4" s="1" t="s">
        <v>18</v>
      </c>
      <c r="P4" s="1" t="s">
        <v>19</v>
      </c>
      <c r="Q4" s="10" t="s">
        <v>93</v>
      </c>
      <c r="R4" s="1" t="s">
        <v>13</v>
      </c>
      <c r="S4" s="2" t="s">
        <v>14</v>
      </c>
      <c r="T4" s="1" t="s">
        <v>15</v>
      </c>
      <c r="U4" s="1" t="s">
        <v>17</v>
      </c>
      <c r="V4" s="1" t="s">
        <v>18</v>
      </c>
      <c r="W4" s="1" t="s">
        <v>20</v>
      </c>
      <c r="Y4" s="2" t="s">
        <v>95</v>
      </c>
      <c r="AA4" s="1" t="s">
        <v>13</v>
      </c>
      <c r="AB4" s="2" t="s">
        <v>14</v>
      </c>
      <c r="AC4" s="1" t="s">
        <v>15</v>
      </c>
      <c r="AD4" s="1" t="s">
        <v>17</v>
      </c>
      <c r="AE4" s="1" t="s">
        <v>18</v>
      </c>
      <c r="AF4" s="2" t="s">
        <v>21</v>
      </c>
      <c r="AG4" s="2" t="s">
        <v>22</v>
      </c>
      <c r="AH4" s="2" t="s">
        <v>23</v>
      </c>
      <c r="AI4" s="5" t="s">
        <v>24</v>
      </c>
      <c r="AJ4" s="2"/>
      <c r="AK4" s="2"/>
      <c r="AL4" s="2"/>
      <c r="AM4" s="2"/>
    </row>
    <row r="5" spans="1:40">
      <c r="A5" s="2"/>
      <c r="B5" s="2"/>
      <c r="C5" s="2"/>
      <c r="D5" s="2"/>
      <c r="F5" s="2"/>
      <c r="G5" s="2"/>
      <c r="H5" s="2"/>
      <c r="P5" s="1"/>
      <c r="Q5" s="9"/>
      <c r="R5" s="1"/>
      <c r="S5" s="2"/>
      <c r="T5" s="1"/>
      <c r="U5" s="1"/>
      <c r="V5" s="1"/>
      <c r="W5" s="1"/>
      <c r="Y5" s="3"/>
      <c r="AA5" s="1"/>
      <c r="AB5" s="2"/>
      <c r="AC5" s="1"/>
      <c r="AD5" s="1"/>
      <c r="AE5" s="1"/>
      <c r="AF5" s="2"/>
      <c r="AG5" s="2"/>
      <c r="AJ5" s="2"/>
      <c r="AK5" s="2"/>
      <c r="AL5" s="2"/>
      <c r="AM5" s="2"/>
    </row>
    <row r="6" spans="1:40">
      <c r="A6" s="2">
        <v>1</v>
      </c>
      <c r="B6" t="s">
        <v>25</v>
      </c>
      <c r="C6">
        <v>79326</v>
      </c>
      <c r="D6">
        <v>40</v>
      </c>
      <c r="E6"/>
      <c r="F6">
        <v>0.5</v>
      </c>
      <c r="G6">
        <v>0.5</v>
      </c>
      <c r="H6">
        <v>0.4</v>
      </c>
      <c r="I6" s="2">
        <f t="shared" ref="I6:I33" si="0">SUM(F6:H6)</f>
        <v>1.4</v>
      </c>
      <c r="K6" s="4">
        <v>2</v>
      </c>
      <c r="L6" s="4">
        <v>0.2</v>
      </c>
      <c r="M6" s="4">
        <v>2</v>
      </c>
      <c r="N6" s="4">
        <v>2</v>
      </c>
      <c r="O6" s="4">
        <v>2</v>
      </c>
      <c r="P6" s="2">
        <f t="shared" ref="P6:P37" si="1">SUM(K6:O6)</f>
        <v>8.1999999999999993</v>
      </c>
      <c r="Q6" s="8" t="s">
        <v>80</v>
      </c>
      <c r="R6">
        <v>4</v>
      </c>
      <c r="S6">
        <v>1</v>
      </c>
      <c r="T6">
        <v>1.3</v>
      </c>
      <c r="U6">
        <v>2</v>
      </c>
      <c r="V6">
        <v>1</v>
      </c>
      <c r="W6" s="2">
        <f>SUM(R6:V6)</f>
        <v>9.3000000000000007</v>
      </c>
      <c r="X6" t="s">
        <v>80</v>
      </c>
      <c r="Y6" s="3">
        <f>I6*2/1.5+P6*4/10+W6*4/10</f>
        <v>8.8666666666666671</v>
      </c>
      <c r="AI6" s="5">
        <v>8.9</v>
      </c>
      <c r="AJ6" t="s">
        <v>79</v>
      </c>
      <c r="AN6" s="3"/>
    </row>
    <row r="7" spans="1:40">
      <c r="A7">
        <v>2</v>
      </c>
      <c r="B7" t="s">
        <v>26</v>
      </c>
      <c r="C7">
        <v>62265</v>
      </c>
      <c r="D7">
        <v>89</v>
      </c>
      <c r="E7"/>
      <c r="F7">
        <v>0.5</v>
      </c>
      <c r="G7">
        <v>0.4</v>
      </c>
      <c r="H7">
        <v>0.4</v>
      </c>
      <c r="I7" s="2">
        <f t="shared" si="0"/>
        <v>1.3</v>
      </c>
      <c r="K7" s="4">
        <v>2</v>
      </c>
      <c r="L7" s="4">
        <v>2</v>
      </c>
      <c r="M7" s="4">
        <v>2</v>
      </c>
      <c r="N7" s="4">
        <v>2</v>
      </c>
      <c r="O7" s="4">
        <v>2</v>
      </c>
      <c r="P7" s="2">
        <f t="shared" si="1"/>
        <v>10</v>
      </c>
      <c r="Q7" s="8" t="s">
        <v>80</v>
      </c>
      <c r="R7">
        <v>4</v>
      </c>
      <c r="S7">
        <v>0.3</v>
      </c>
      <c r="T7">
        <v>1</v>
      </c>
      <c r="U7">
        <v>2</v>
      </c>
      <c r="V7">
        <v>1</v>
      </c>
      <c r="W7" s="2">
        <f>SUM(R7:V7)</f>
        <v>8.3000000000000007</v>
      </c>
      <c r="X7" t="s">
        <v>80</v>
      </c>
      <c r="Y7" s="3">
        <f>I7*2/1.5+P7*4/10+W7*4/10</f>
        <v>9.0533333333333346</v>
      </c>
      <c r="AI7" s="5">
        <v>9.1</v>
      </c>
      <c r="AJ7" t="s">
        <v>79</v>
      </c>
      <c r="AN7" s="3"/>
    </row>
    <row r="8" spans="1:40">
      <c r="A8">
        <v>3</v>
      </c>
      <c r="B8" t="s">
        <v>27</v>
      </c>
      <c r="C8">
        <v>50292</v>
      </c>
      <c r="D8">
        <v>40</v>
      </c>
      <c r="E8"/>
      <c r="F8">
        <v>0.4</v>
      </c>
      <c r="G8">
        <v>0.3</v>
      </c>
      <c r="H8">
        <v>0.4</v>
      </c>
      <c r="I8" s="2">
        <f t="shared" si="0"/>
        <v>1.1000000000000001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2">
        <f t="shared" si="1"/>
        <v>0</v>
      </c>
      <c r="R8" t="s">
        <v>87</v>
      </c>
      <c r="W8"/>
      <c r="Y8" s="3"/>
      <c r="AI8" s="5">
        <v>1</v>
      </c>
      <c r="AJ8" t="s">
        <v>88</v>
      </c>
      <c r="AN8" s="3"/>
    </row>
    <row r="9" spans="1:40">
      <c r="A9">
        <v>4</v>
      </c>
      <c r="B9" t="s">
        <v>28</v>
      </c>
      <c r="C9">
        <v>83981</v>
      </c>
      <c r="D9">
        <v>89</v>
      </c>
      <c r="E9"/>
      <c r="F9">
        <v>0.3</v>
      </c>
      <c r="G9">
        <v>0.4</v>
      </c>
      <c r="H9">
        <v>0.4</v>
      </c>
      <c r="I9" s="2">
        <f t="shared" si="0"/>
        <v>1.1000000000000001</v>
      </c>
      <c r="K9" s="4">
        <v>2</v>
      </c>
      <c r="L9" s="4">
        <v>1</v>
      </c>
      <c r="M9" s="4">
        <v>2</v>
      </c>
      <c r="N9" s="4">
        <v>2</v>
      </c>
      <c r="O9" s="4">
        <v>2</v>
      </c>
      <c r="P9" s="2">
        <f t="shared" si="1"/>
        <v>9</v>
      </c>
      <c r="Q9" s="8" t="s">
        <v>80</v>
      </c>
      <c r="R9">
        <v>4</v>
      </c>
      <c r="S9">
        <v>1</v>
      </c>
      <c r="T9">
        <v>1.9</v>
      </c>
      <c r="U9">
        <v>2</v>
      </c>
      <c r="V9">
        <v>1</v>
      </c>
      <c r="W9" s="2">
        <f t="shared" ref="W9:W24" si="2">SUM(R9:V9)</f>
        <v>9.9</v>
      </c>
      <c r="X9" t="s">
        <v>80</v>
      </c>
      <c r="Y9" s="3">
        <f t="shared" ref="Y9:Y24" si="3">I9*2/1.5+P9*4/10+W9*4/10</f>
        <v>9.0266666666666673</v>
      </c>
      <c r="AI9" s="5">
        <v>9</v>
      </c>
      <c r="AJ9" t="s">
        <v>79</v>
      </c>
      <c r="AN9" s="3"/>
    </row>
    <row r="10" spans="1:40">
      <c r="A10">
        <v>5</v>
      </c>
      <c r="B10" t="s">
        <v>29</v>
      </c>
      <c r="C10">
        <v>85672</v>
      </c>
      <c r="D10">
        <v>264</v>
      </c>
      <c r="E10"/>
      <c r="F10">
        <v>0.4</v>
      </c>
      <c r="G10">
        <v>0.3</v>
      </c>
      <c r="H10">
        <v>0.1</v>
      </c>
      <c r="I10" s="2">
        <f t="shared" si="0"/>
        <v>0.79999999999999993</v>
      </c>
      <c r="K10" s="4">
        <v>0</v>
      </c>
      <c r="L10" s="4">
        <v>1</v>
      </c>
      <c r="M10" s="4">
        <v>0</v>
      </c>
      <c r="N10" s="4">
        <v>1</v>
      </c>
      <c r="O10" s="4">
        <v>2</v>
      </c>
      <c r="P10" s="2">
        <f t="shared" si="1"/>
        <v>4</v>
      </c>
      <c r="Q10" s="8" t="s">
        <v>80</v>
      </c>
      <c r="R10">
        <v>2</v>
      </c>
      <c r="S10">
        <v>0.3</v>
      </c>
      <c r="T10">
        <v>1.3</v>
      </c>
      <c r="U10">
        <v>2</v>
      </c>
      <c r="V10">
        <v>1</v>
      </c>
      <c r="W10" s="2">
        <f t="shared" si="2"/>
        <v>6.6</v>
      </c>
      <c r="X10" t="s">
        <v>80</v>
      </c>
      <c r="Y10" s="3">
        <f t="shared" si="3"/>
        <v>5.3066666666666666</v>
      </c>
      <c r="Z10" s="6" t="s">
        <v>23</v>
      </c>
      <c r="AA10">
        <v>0.8</v>
      </c>
      <c r="AB10">
        <v>1</v>
      </c>
      <c r="AC10">
        <v>0</v>
      </c>
      <c r="AD10">
        <v>1.5</v>
      </c>
      <c r="AE10">
        <v>1.5</v>
      </c>
      <c r="AF10">
        <v>0</v>
      </c>
      <c r="AG10">
        <v>2</v>
      </c>
      <c r="AH10" s="2">
        <f>SUM(AA10:AG10)</f>
        <v>6.8</v>
      </c>
      <c r="AI10" s="5">
        <f>(3*(Y10+Y10) + 4*AH10)/10</f>
        <v>5.9039999999999999</v>
      </c>
      <c r="AJ10" t="s">
        <v>79</v>
      </c>
      <c r="AN10" s="3"/>
    </row>
    <row r="11" spans="1:40">
      <c r="A11">
        <v>6</v>
      </c>
      <c r="B11" t="s">
        <v>30</v>
      </c>
      <c r="C11">
        <v>71194</v>
      </c>
      <c r="D11">
        <v>40</v>
      </c>
      <c r="E11"/>
      <c r="F11">
        <v>0.4</v>
      </c>
      <c r="G11">
        <v>0.4</v>
      </c>
      <c r="H11">
        <v>0.4</v>
      </c>
      <c r="I11" s="2">
        <f t="shared" si="0"/>
        <v>1.2000000000000002</v>
      </c>
      <c r="K11" s="4">
        <v>1</v>
      </c>
      <c r="L11" s="4">
        <v>0</v>
      </c>
      <c r="M11" s="4">
        <v>0</v>
      </c>
      <c r="N11" s="4">
        <v>2</v>
      </c>
      <c r="O11" s="4">
        <v>0</v>
      </c>
      <c r="P11" s="2">
        <f t="shared" si="1"/>
        <v>3</v>
      </c>
      <c r="Q11" s="8" t="s">
        <v>80</v>
      </c>
      <c r="R11">
        <v>1</v>
      </c>
      <c r="S11">
        <v>1.5</v>
      </c>
      <c r="T11">
        <v>0.5</v>
      </c>
      <c r="U11">
        <v>1</v>
      </c>
      <c r="V11">
        <v>1</v>
      </c>
      <c r="W11" s="2">
        <f t="shared" si="2"/>
        <v>5</v>
      </c>
      <c r="X11" t="s">
        <v>81</v>
      </c>
      <c r="Y11" s="3">
        <f t="shared" si="3"/>
        <v>4.8000000000000007</v>
      </c>
      <c r="Z11" s="6" t="s">
        <v>23</v>
      </c>
      <c r="AA11">
        <v>1</v>
      </c>
      <c r="AB11">
        <v>0.8</v>
      </c>
      <c r="AC11">
        <v>1</v>
      </c>
      <c r="AD11">
        <v>1</v>
      </c>
      <c r="AE11">
        <v>1</v>
      </c>
      <c r="AF11">
        <v>1</v>
      </c>
      <c r="AG11">
        <v>1.5</v>
      </c>
      <c r="AH11" s="2">
        <f>SUM(AA11:AG11)</f>
        <v>7.3</v>
      </c>
      <c r="AI11" s="5">
        <f>(3*(Y11+Y11) + 4*AH11)/10</f>
        <v>5.8</v>
      </c>
      <c r="AJ11" t="s">
        <v>79</v>
      </c>
      <c r="AN11" s="3"/>
    </row>
    <row r="12" spans="1:40">
      <c r="A12">
        <v>7</v>
      </c>
      <c r="B12" t="s">
        <v>31</v>
      </c>
      <c r="C12">
        <v>83796</v>
      </c>
      <c r="D12">
        <v>40</v>
      </c>
      <c r="E12"/>
      <c r="F12">
        <v>0.3</v>
      </c>
      <c r="G12">
        <v>0.1</v>
      </c>
      <c r="H12">
        <v>0</v>
      </c>
      <c r="I12" s="2">
        <f t="shared" si="0"/>
        <v>0.4</v>
      </c>
      <c r="K12" s="4">
        <v>0.8</v>
      </c>
      <c r="L12" s="4">
        <v>0</v>
      </c>
      <c r="M12" s="4">
        <v>1</v>
      </c>
      <c r="N12" s="4">
        <v>0</v>
      </c>
      <c r="O12" s="4">
        <v>1</v>
      </c>
      <c r="P12" s="2">
        <f t="shared" si="1"/>
        <v>2.8</v>
      </c>
      <c r="Q12" s="8" t="s">
        <v>80</v>
      </c>
      <c r="R12">
        <v>4</v>
      </c>
      <c r="S12">
        <v>1</v>
      </c>
      <c r="T12">
        <v>2</v>
      </c>
      <c r="U12">
        <v>2</v>
      </c>
      <c r="V12">
        <v>1</v>
      </c>
      <c r="W12" s="2">
        <f t="shared" si="2"/>
        <v>10</v>
      </c>
      <c r="X12" t="s">
        <v>86</v>
      </c>
      <c r="Y12" s="3">
        <f t="shared" si="3"/>
        <v>5.6533333333333333</v>
      </c>
      <c r="Z12" s="6" t="s">
        <v>23</v>
      </c>
      <c r="AA12">
        <v>1</v>
      </c>
      <c r="AB12">
        <v>1</v>
      </c>
      <c r="AC12">
        <v>1</v>
      </c>
      <c r="AD12">
        <v>1.5</v>
      </c>
      <c r="AE12">
        <v>0.2</v>
      </c>
      <c r="AF12">
        <v>0.5</v>
      </c>
      <c r="AG12">
        <v>0</v>
      </c>
      <c r="AH12" s="2">
        <f>SUM(AA12:AG12)</f>
        <v>5.2</v>
      </c>
      <c r="AI12" s="5">
        <f>(3*(Y12+Y12) + 4*AH12)/10</f>
        <v>5.4719999999999995</v>
      </c>
      <c r="AJ12" t="s">
        <v>79</v>
      </c>
      <c r="AN12" s="3"/>
    </row>
    <row r="13" spans="1:40">
      <c r="A13">
        <v>8</v>
      </c>
      <c r="B13" t="s">
        <v>32</v>
      </c>
      <c r="C13">
        <v>78936</v>
      </c>
      <c r="D13">
        <v>264</v>
      </c>
      <c r="E13"/>
      <c r="F13">
        <v>0.3</v>
      </c>
      <c r="G13">
        <v>0.4</v>
      </c>
      <c r="H13">
        <v>0.1</v>
      </c>
      <c r="I13" s="2">
        <f t="shared" si="0"/>
        <v>0.79999999999999993</v>
      </c>
      <c r="K13" s="4">
        <v>1</v>
      </c>
      <c r="L13" s="4">
        <v>0</v>
      </c>
      <c r="M13" s="4">
        <v>0</v>
      </c>
      <c r="N13" s="4">
        <v>0</v>
      </c>
      <c r="O13" s="4">
        <v>2</v>
      </c>
      <c r="P13" s="2">
        <f t="shared" si="1"/>
        <v>3</v>
      </c>
      <c r="Q13" s="8" t="s">
        <v>80</v>
      </c>
      <c r="R13">
        <v>2</v>
      </c>
      <c r="S13">
        <v>0.3</v>
      </c>
      <c r="T13">
        <v>1</v>
      </c>
      <c r="U13">
        <v>1.5</v>
      </c>
      <c r="V13">
        <v>0.5</v>
      </c>
      <c r="W13" s="2">
        <f t="shared" si="2"/>
        <v>5.3</v>
      </c>
      <c r="X13" t="s">
        <v>80</v>
      </c>
      <c r="Y13" s="3">
        <f t="shared" si="3"/>
        <v>4.3866666666666667</v>
      </c>
      <c r="Z13" s="6" t="s">
        <v>23</v>
      </c>
      <c r="AA13">
        <v>0.6</v>
      </c>
      <c r="AB13">
        <v>0</v>
      </c>
      <c r="AC13">
        <v>1</v>
      </c>
      <c r="AD13">
        <v>1.5</v>
      </c>
      <c r="AE13">
        <v>0</v>
      </c>
      <c r="AF13">
        <v>0.4</v>
      </c>
      <c r="AG13">
        <v>2.5</v>
      </c>
      <c r="AH13" s="2">
        <f>SUM(AA13:AG13)</f>
        <v>6</v>
      </c>
      <c r="AI13" s="5">
        <f>(3*(Y13+Y13) + 4*AH13)/10</f>
        <v>5.032</v>
      </c>
      <c r="AJ13" t="s">
        <v>79</v>
      </c>
      <c r="AN13" s="3"/>
    </row>
    <row r="14" spans="1:40">
      <c r="A14">
        <v>9</v>
      </c>
      <c r="B14" t="s">
        <v>33</v>
      </c>
      <c r="C14">
        <v>81705</v>
      </c>
      <c r="D14">
        <v>40</v>
      </c>
      <c r="E14"/>
      <c r="F14">
        <v>0.4</v>
      </c>
      <c r="G14">
        <v>0.3</v>
      </c>
      <c r="H14">
        <v>0.4</v>
      </c>
      <c r="I14" s="2">
        <f t="shared" si="0"/>
        <v>1.1000000000000001</v>
      </c>
      <c r="K14" s="4">
        <v>0</v>
      </c>
      <c r="L14" s="4">
        <v>0</v>
      </c>
      <c r="M14" s="4">
        <v>2</v>
      </c>
      <c r="N14" s="4">
        <v>0</v>
      </c>
      <c r="O14" s="4">
        <v>2</v>
      </c>
      <c r="P14" s="2">
        <f t="shared" si="1"/>
        <v>4</v>
      </c>
      <c r="Q14" s="8" t="s">
        <v>80</v>
      </c>
      <c r="R14">
        <v>3.5</v>
      </c>
      <c r="S14">
        <v>0.5</v>
      </c>
      <c r="T14">
        <v>1</v>
      </c>
      <c r="U14">
        <v>0</v>
      </c>
      <c r="V14">
        <v>1</v>
      </c>
      <c r="W14" s="2">
        <f t="shared" si="2"/>
        <v>6</v>
      </c>
      <c r="X14" t="s">
        <v>81</v>
      </c>
      <c r="Y14" s="3">
        <f t="shared" si="3"/>
        <v>5.4666666666666668</v>
      </c>
      <c r="Z14" s="6" t="s">
        <v>23</v>
      </c>
      <c r="AA14">
        <v>0.8</v>
      </c>
      <c r="AB14">
        <v>0.6</v>
      </c>
      <c r="AC14">
        <v>1</v>
      </c>
      <c r="AD14">
        <v>1.5</v>
      </c>
      <c r="AE14">
        <v>0.5</v>
      </c>
      <c r="AF14">
        <v>0</v>
      </c>
      <c r="AG14">
        <v>2</v>
      </c>
      <c r="AH14" s="2">
        <f>SUM(AA14:AG14)</f>
        <v>6.4</v>
      </c>
      <c r="AI14" s="5">
        <f>(3*(Y14+Y14) + 4*AH14)/10</f>
        <v>5.84</v>
      </c>
      <c r="AJ14" t="s">
        <v>79</v>
      </c>
      <c r="AN14" s="3"/>
    </row>
    <row r="15" spans="1:40">
      <c r="A15">
        <v>10</v>
      </c>
      <c r="B15" t="s">
        <v>34</v>
      </c>
      <c r="C15">
        <v>85673</v>
      </c>
      <c r="D15">
        <v>264</v>
      </c>
      <c r="E15"/>
      <c r="F15">
        <v>0.5</v>
      </c>
      <c r="G15">
        <v>0.5</v>
      </c>
      <c r="H15">
        <v>0.4</v>
      </c>
      <c r="I15" s="2">
        <f t="shared" si="0"/>
        <v>1.4</v>
      </c>
      <c r="K15" s="4">
        <v>1</v>
      </c>
      <c r="L15" s="4">
        <v>2</v>
      </c>
      <c r="M15" s="4">
        <v>2</v>
      </c>
      <c r="N15" s="4">
        <v>2</v>
      </c>
      <c r="O15" s="4">
        <v>2</v>
      </c>
      <c r="P15" s="2">
        <f t="shared" si="1"/>
        <v>9</v>
      </c>
      <c r="Q15" s="8" t="s">
        <v>80</v>
      </c>
      <c r="R15">
        <v>4</v>
      </c>
      <c r="S15">
        <v>1</v>
      </c>
      <c r="T15">
        <v>0.7</v>
      </c>
      <c r="U15">
        <v>1.8</v>
      </c>
      <c r="V15">
        <v>0</v>
      </c>
      <c r="W15" s="2">
        <f t="shared" si="2"/>
        <v>7.5</v>
      </c>
      <c r="X15" t="s">
        <v>80</v>
      </c>
      <c r="Y15" s="3">
        <f t="shared" si="3"/>
        <v>8.4666666666666668</v>
      </c>
      <c r="AI15" s="5">
        <v>8.5</v>
      </c>
      <c r="AJ15" t="s">
        <v>79</v>
      </c>
      <c r="AN15" s="3"/>
    </row>
    <row r="16" spans="1:40">
      <c r="A16">
        <v>11</v>
      </c>
      <c r="B16" t="s">
        <v>35</v>
      </c>
      <c r="C16">
        <v>63404</v>
      </c>
      <c r="D16">
        <v>99</v>
      </c>
      <c r="E16"/>
      <c r="F16">
        <v>0.2</v>
      </c>
      <c r="G16">
        <v>0.4</v>
      </c>
      <c r="H16">
        <v>0</v>
      </c>
      <c r="I16" s="2">
        <f t="shared" si="0"/>
        <v>0.60000000000000009</v>
      </c>
      <c r="K16" s="4">
        <v>0.3</v>
      </c>
      <c r="L16" s="4">
        <v>0</v>
      </c>
      <c r="M16" s="4">
        <v>0</v>
      </c>
      <c r="N16" s="4">
        <v>2</v>
      </c>
      <c r="O16" s="4">
        <v>2</v>
      </c>
      <c r="P16" s="2">
        <f t="shared" si="1"/>
        <v>4.3</v>
      </c>
      <c r="Q16" s="8" t="s">
        <v>80</v>
      </c>
      <c r="R16">
        <v>4</v>
      </c>
      <c r="S16">
        <v>0.4</v>
      </c>
      <c r="T16">
        <v>1</v>
      </c>
      <c r="U16">
        <v>1.5</v>
      </c>
      <c r="V16">
        <v>1</v>
      </c>
      <c r="W16" s="2">
        <f t="shared" si="2"/>
        <v>7.9</v>
      </c>
      <c r="X16" t="s">
        <v>80</v>
      </c>
      <c r="Y16" s="3">
        <f t="shared" si="3"/>
        <v>5.68</v>
      </c>
      <c r="Z16" s="6" t="s">
        <v>23</v>
      </c>
      <c r="AA16">
        <v>1</v>
      </c>
      <c r="AB16">
        <v>1</v>
      </c>
      <c r="AC16">
        <v>0.8</v>
      </c>
      <c r="AD16">
        <v>1.5</v>
      </c>
      <c r="AE16">
        <v>0</v>
      </c>
      <c r="AF16">
        <v>0</v>
      </c>
      <c r="AG16">
        <v>3</v>
      </c>
      <c r="AH16" s="2">
        <f>SUM(AA16:AG16)</f>
        <v>7.3</v>
      </c>
      <c r="AI16" s="5">
        <f>(3*(Y16+Y16) + 4*AH16)/10</f>
        <v>6.3280000000000003</v>
      </c>
      <c r="AJ16" t="s">
        <v>36</v>
      </c>
      <c r="AN16" s="3"/>
    </row>
    <row r="17" spans="1:40">
      <c r="A17">
        <v>12</v>
      </c>
      <c r="B17" t="s">
        <v>37</v>
      </c>
      <c r="C17">
        <v>71039</v>
      </c>
      <c r="D17">
        <v>264</v>
      </c>
      <c r="E17"/>
      <c r="F17">
        <v>0.5</v>
      </c>
      <c r="G17">
        <v>0.3</v>
      </c>
      <c r="H17">
        <v>0.4</v>
      </c>
      <c r="I17" s="2">
        <f t="shared" si="0"/>
        <v>1.2000000000000002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">
        <f t="shared" si="1"/>
        <v>0</v>
      </c>
      <c r="Q17" s="8" t="s">
        <v>81</v>
      </c>
      <c r="R17">
        <v>0</v>
      </c>
      <c r="S17">
        <v>0</v>
      </c>
      <c r="T17">
        <v>1</v>
      </c>
      <c r="U17">
        <v>1</v>
      </c>
      <c r="V17">
        <v>1</v>
      </c>
      <c r="W17" s="2">
        <f t="shared" si="2"/>
        <v>3</v>
      </c>
      <c r="X17" t="s">
        <v>81</v>
      </c>
      <c r="Y17" s="3">
        <f t="shared" si="3"/>
        <v>2.8000000000000003</v>
      </c>
      <c r="Z17" s="6" t="s">
        <v>23</v>
      </c>
      <c r="AH17" s="2">
        <f>SUM(AA17:AG17)</f>
        <v>0</v>
      </c>
      <c r="AI17" s="5">
        <f>(3*(Y17+Y17) + 4*AH17)/10</f>
        <v>1.6800000000000002</v>
      </c>
      <c r="AJ17" t="s">
        <v>94</v>
      </c>
      <c r="AN17" s="3"/>
    </row>
    <row r="18" spans="1:40">
      <c r="A18">
        <v>13</v>
      </c>
      <c r="B18" t="s">
        <v>38</v>
      </c>
      <c r="C18">
        <v>71489</v>
      </c>
      <c r="D18">
        <v>264</v>
      </c>
      <c r="E18"/>
      <c r="F18">
        <v>0.4</v>
      </c>
      <c r="G18">
        <v>0.1</v>
      </c>
      <c r="H18">
        <v>0</v>
      </c>
      <c r="I18" s="2">
        <f t="shared" si="0"/>
        <v>0.5</v>
      </c>
      <c r="K18" s="4">
        <v>0</v>
      </c>
      <c r="L18" s="4">
        <v>0.5</v>
      </c>
      <c r="M18" s="4">
        <v>0</v>
      </c>
      <c r="N18" s="4">
        <v>0</v>
      </c>
      <c r="O18" s="4">
        <v>2</v>
      </c>
      <c r="P18" s="2">
        <f t="shared" si="1"/>
        <v>2.5</v>
      </c>
      <c r="Q18" s="8" t="s">
        <v>81</v>
      </c>
      <c r="R18">
        <v>1.5</v>
      </c>
      <c r="S18">
        <v>0.5</v>
      </c>
      <c r="T18">
        <v>1.5</v>
      </c>
      <c r="U18">
        <v>1</v>
      </c>
      <c r="V18">
        <v>0.2</v>
      </c>
      <c r="W18" s="2">
        <f t="shared" si="2"/>
        <v>4.7</v>
      </c>
      <c r="X18" t="s">
        <v>81</v>
      </c>
      <c r="Y18" s="3">
        <f t="shared" si="3"/>
        <v>3.5466666666666669</v>
      </c>
      <c r="Z18" s="6" t="s">
        <v>23</v>
      </c>
      <c r="AA18">
        <v>0.8</v>
      </c>
      <c r="AB18">
        <v>0.5</v>
      </c>
      <c r="AC18">
        <v>0</v>
      </c>
      <c r="AD18">
        <v>0</v>
      </c>
      <c r="AE18">
        <v>0.5</v>
      </c>
      <c r="AF18">
        <v>0</v>
      </c>
      <c r="AG18">
        <v>2</v>
      </c>
      <c r="AH18" s="2">
        <f>SUM(AA18:AG18)</f>
        <v>3.8</v>
      </c>
      <c r="AI18" s="5">
        <f>(3*(Y18+Y18) + 4*AH18)/10</f>
        <v>3.6480000000000006</v>
      </c>
      <c r="AJ18" t="s">
        <v>94</v>
      </c>
      <c r="AN18" s="3"/>
    </row>
    <row r="19" spans="1:40">
      <c r="A19">
        <v>14</v>
      </c>
      <c r="B19" t="s">
        <v>39</v>
      </c>
      <c r="C19">
        <v>68478</v>
      </c>
      <c r="D19">
        <v>40</v>
      </c>
      <c r="E19"/>
      <c r="F19">
        <v>0.4</v>
      </c>
      <c r="G19">
        <v>0.6</v>
      </c>
      <c r="H19">
        <v>0.4</v>
      </c>
      <c r="I19" s="2">
        <f t="shared" si="0"/>
        <v>1.4</v>
      </c>
      <c r="K19" s="4">
        <v>2</v>
      </c>
      <c r="L19" s="4">
        <v>0</v>
      </c>
      <c r="M19" s="4">
        <v>2</v>
      </c>
      <c r="N19" s="4">
        <v>0.5</v>
      </c>
      <c r="O19" s="4">
        <v>2</v>
      </c>
      <c r="P19" s="2">
        <f t="shared" si="1"/>
        <v>6.5</v>
      </c>
      <c r="Q19" s="8" t="s">
        <v>81</v>
      </c>
      <c r="R19">
        <v>4</v>
      </c>
      <c r="S19">
        <v>1</v>
      </c>
      <c r="T19">
        <v>2</v>
      </c>
      <c r="U19">
        <v>2</v>
      </c>
      <c r="V19">
        <v>1</v>
      </c>
      <c r="W19" s="2">
        <f t="shared" si="2"/>
        <v>10</v>
      </c>
      <c r="X19" t="s">
        <v>81</v>
      </c>
      <c r="Y19" s="3">
        <f t="shared" si="3"/>
        <v>8.4666666666666668</v>
      </c>
      <c r="AI19" s="5">
        <v>8.5</v>
      </c>
      <c r="AJ19" t="s">
        <v>79</v>
      </c>
      <c r="AN19" s="3"/>
    </row>
    <row r="20" spans="1:40">
      <c r="A20">
        <v>15</v>
      </c>
      <c r="B20" t="s">
        <v>40</v>
      </c>
      <c r="C20">
        <v>85655</v>
      </c>
      <c r="D20">
        <v>264</v>
      </c>
      <c r="E20"/>
      <c r="F20">
        <v>0.4</v>
      </c>
      <c r="G20">
        <v>0.6</v>
      </c>
      <c r="H20">
        <v>0.4</v>
      </c>
      <c r="I20" s="2">
        <f t="shared" si="0"/>
        <v>1.4</v>
      </c>
      <c r="K20" s="4">
        <v>2</v>
      </c>
      <c r="L20" s="4">
        <v>2</v>
      </c>
      <c r="M20" s="4">
        <v>2</v>
      </c>
      <c r="N20" s="4">
        <v>2</v>
      </c>
      <c r="O20" s="4">
        <v>2</v>
      </c>
      <c r="P20" s="2">
        <f t="shared" si="1"/>
        <v>10</v>
      </c>
      <c r="Q20" s="8" t="s">
        <v>80</v>
      </c>
      <c r="R20">
        <v>2.5</v>
      </c>
      <c r="S20">
        <v>1</v>
      </c>
      <c r="T20">
        <v>0.5</v>
      </c>
      <c r="U20">
        <v>2</v>
      </c>
      <c r="V20">
        <v>1</v>
      </c>
      <c r="W20" s="2">
        <f t="shared" si="2"/>
        <v>7</v>
      </c>
      <c r="X20" t="s">
        <v>80</v>
      </c>
      <c r="Y20" s="3">
        <f t="shared" si="3"/>
        <v>8.6666666666666661</v>
      </c>
      <c r="AI20" s="5">
        <v>8.6999999999999993</v>
      </c>
      <c r="AJ20" t="s">
        <v>79</v>
      </c>
      <c r="AN20" s="3"/>
    </row>
    <row r="21" spans="1:40">
      <c r="A21">
        <v>16</v>
      </c>
      <c r="B21" t="s">
        <v>41</v>
      </c>
      <c r="C21">
        <v>71192</v>
      </c>
      <c r="D21">
        <v>40</v>
      </c>
      <c r="E21"/>
      <c r="F21">
        <v>0.4</v>
      </c>
      <c r="G21">
        <v>0.5</v>
      </c>
      <c r="H21">
        <v>0.2</v>
      </c>
      <c r="I21" s="2">
        <f t="shared" si="0"/>
        <v>1.1000000000000001</v>
      </c>
      <c r="K21" s="4">
        <v>2</v>
      </c>
      <c r="L21" s="4">
        <v>2</v>
      </c>
      <c r="M21" s="4">
        <v>2</v>
      </c>
      <c r="N21" s="4">
        <v>2</v>
      </c>
      <c r="O21" s="4">
        <v>2</v>
      </c>
      <c r="P21" s="2">
        <f t="shared" si="1"/>
        <v>10</v>
      </c>
      <c r="Q21" s="8" t="s">
        <v>81</v>
      </c>
      <c r="R21">
        <v>4</v>
      </c>
      <c r="S21">
        <v>0.5</v>
      </c>
      <c r="T21">
        <v>2</v>
      </c>
      <c r="U21">
        <v>2</v>
      </c>
      <c r="V21">
        <v>1</v>
      </c>
      <c r="W21" s="2">
        <f t="shared" si="2"/>
        <v>9.5</v>
      </c>
      <c r="X21" t="s">
        <v>81</v>
      </c>
      <c r="Y21" s="3">
        <f t="shared" si="3"/>
        <v>9.2666666666666657</v>
      </c>
      <c r="AI21" s="3">
        <v>9.3000000000000007</v>
      </c>
      <c r="AJ21" t="s">
        <v>79</v>
      </c>
      <c r="AN21" s="3"/>
    </row>
    <row r="22" spans="1:40">
      <c r="A22">
        <v>17</v>
      </c>
      <c r="B22" t="s">
        <v>42</v>
      </c>
      <c r="C22">
        <v>60095</v>
      </c>
      <c r="D22">
        <v>264</v>
      </c>
      <c r="E22"/>
      <c r="F22">
        <v>0.3</v>
      </c>
      <c r="G22">
        <v>0.5</v>
      </c>
      <c r="H22">
        <v>0.4</v>
      </c>
      <c r="I22" s="2">
        <f t="shared" si="0"/>
        <v>1.2000000000000002</v>
      </c>
      <c r="K22" s="4">
        <v>2</v>
      </c>
      <c r="L22" s="4">
        <v>2</v>
      </c>
      <c r="M22" s="4">
        <v>2</v>
      </c>
      <c r="N22" s="4">
        <v>2</v>
      </c>
      <c r="O22" s="4">
        <v>2</v>
      </c>
      <c r="P22" s="2">
        <f t="shared" si="1"/>
        <v>10</v>
      </c>
      <c r="Q22" s="8" t="s">
        <v>80</v>
      </c>
      <c r="R22">
        <v>4</v>
      </c>
      <c r="S22">
        <v>1</v>
      </c>
      <c r="T22">
        <v>2</v>
      </c>
      <c r="U22">
        <v>2</v>
      </c>
      <c r="V22">
        <v>1</v>
      </c>
      <c r="W22" s="2">
        <f t="shared" si="2"/>
        <v>10</v>
      </c>
      <c r="X22" t="s">
        <v>81</v>
      </c>
      <c r="Y22" s="3">
        <f t="shared" si="3"/>
        <v>9.6000000000000014</v>
      </c>
      <c r="AI22" s="5">
        <v>9.6</v>
      </c>
      <c r="AJ22" t="s">
        <v>79</v>
      </c>
      <c r="AN22" s="3"/>
    </row>
    <row r="23" spans="1:40">
      <c r="A23">
        <v>18</v>
      </c>
      <c r="B23" t="s">
        <v>43</v>
      </c>
      <c r="C23">
        <v>85659</v>
      </c>
      <c r="D23">
        <v>264</v>
      </c>
      <c r="E23"/>
      <c r="F23">
        <v>0.5</v>
      </c>
      <c r="G23">
        <v>0.5</v>
      </c>
      <c r="H23">
        <v>0.4</v>
      </c>
      <c r="I23" s="2">
        <f t="shared" si="0"/>
        <v>1.4</v>
      </c>
      <c r="K23" s="4">
        <v>2</v>
      </c>
      <c r="L23" s="4">
        <v>2</v>
      </c>
      <c r="M23" s="4">
        <v>0</v>
      </c>
      <c r="N23" s="4">
        <v>2</v>
      </c>
      <c r="O23" s="4">
        <v>2</v>
      </c>
      <c r="P23" s="2">
        <f t="shared" si="1"/>
        <v>8</v>
      </c>
      <c r="Q23" s="8" t="s">
        <v>80</v>
      </c>
      <c r="R23">
        <v>4</v>
      </c>
      <c r="S23">
        <v>1</v>
      </c>
      <c r="T23">
        <v>2</v>
      </c>
      <c r="U23">
        <v>2</v>
      </c>
      <c r="V23">
        <v>1</v>
      </c>
      <c r="W23" s="2">
        <f t="shared" si="2"/>
        <v>10</v>
      </c>
      <c r="X23" t="s">
        <v>80</v>
      </c>
      <c r="Y23" s="3">
        <f t="shared" si="3"/>
        <v>9.0666666666666664</v>
      </c>
      <c r="AI23" s="5">
        <v>9.1</v>
      </c>
      <c r="AJ23" t="s">
        <v>79</v>
      </c>
      <c r="AN23" s="3"/>
    </row>
    <row r="24" spans="1:40">
      <c r="A24">
        <v>19</v>
      </c>
      <c r="B24" t="s">
        <v>44</v>
      </c>
      <c r="C24">
        <v>80311</v>
      </c>
      <c r="D24">
        <v>264</v>
      </c>
      <c r="E24"/>
      <c r="F24">
        <v>0.5</v>
      </c>
      <c r="G24">
        <v>0.5</v>
      </c>
      <c r="H24">
        <v>0.4</v>
      </c>
      <c r="I24" s="2">
        <f t="shared" si="0"/>
        <v>1.4</v>
      </c>
      <c r="K24" s="4">
        <v>2</v>
      </c>
      <c r="L24" s="4">
        <v>2</v>
      </c>
      <c r="M24" s="4">
        <v>2</v>
      </c>
      <c r="N24" s="4">
        <v>2</v>
      </c>
      <c r="O24" s="4">
        <v>2</v>
      </c>
      <c r="P24" s="2">
        <f t="shared" si="1"/>
        <v>10</v>
      </c>
      <c r="Q24" s="8" t="s">
        <v>80</v>
      </c>
      <c r="R24">
        <v>4</v>
      </c>
      <c r="S24">
        <v>1</v>
      </c>
      <c r="T24">
        <v>1.3</v>
      </c>
      <c r="U24">
        <v>1.5</v>
      </c>
      <c r="V24">
        <v>1</v>
      </c>
      <c r="W24" s="2">
        <f t="shared" si="2"/>
        <v>8.8000000000000007</v>
      </c>
      <c r="X24" t="s">
        <v>80</v>
      </c>
      <c r="Y24" s="3">
        <f t="shared" si="3"/>
        <v>9.3866666666666667</v>
      </c>
      <c r="AI24" s="5">
        <v>9.4</v>
      </c>
      <c r="AJ24" t="s">
        <v>79</v>
      </c>
      <c r="AN24" s="3"/>
    </row>
    <row r="25" spans="1:40">
      <c r="A25">
        <v>20</v>
      </c>
      <c r="B25" t="s">
        <v>45</v>
      </c>
      <c r="C25">
        <v>81233</v>
      </c>
      <c r="D25">
        <v>264</v>
      </c>
      <c r="E25"/>
      <c r="F25">
        <v>0.5</v>
      </c>
      <c r="G25">
        <v>0.2</v>
      </c>
      <c r="H25">
        <v>0</v>
      </c>
      <c r="I25" s="2">
        <f t="shared" si="0"/>
        <v>0.7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2">
        <f t="shared" si="1"/>
        <v>0</v>
      </c>
      <c r="Q25" s="8" t="s">
        <v>81</v>
      </c>
      <c r="W25"/>
      <c r="Y25" s="3"/>
      <c r="AI25" s="5" t="s">
        <v>12</v>
      </c>
      <c r="AJ25" t="s">
        <v>94</v>
      </c>
      <c r="AN25" s="3"/>
    </row>
    <row r="26" spans="1:40">
      <c r="A26">
        <v>21</v>
      </c>
      <c r="B26" t="s">
        <v>46</v>
      </c>
      <c r="C26">
        <v>86756</v>
      </c>
      <c r="D26">
        <v>99</v>
      </c>
      <c r="E26"/>
      <c r="F26">
        <v>0.4</v>
      </c>
      <c r="G26">
        <v>0.4</v>
      </c>
      <c r="H26">
        <v>0.4</v>
      </c>
      <c r="I26" s="2">
        <f t="shared" si="0"/>
        <v>1.2000000000000002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2">
        <f t="shared" si="1"/>
        <v>0</v>
      </c>
      <c r="Q26" s="8" t="s">
        <v>81</v>
      </c>
      <c r="W26"/>
      <c r="Y26" s="3"/>
      <c r="AI26" s="5" t="s">
        <v>12</v>
      </c>
      <c r="AJ26" t="s">
        <v>94</v>
      </c>
      <c r="AN26" s="3"/>
    </row>
    <row r="27" spans="1:40">
      <c r="A27">
        <v>22</v>
      </c>
      <c r="B27" t="s">
        <v>47</v>
      </c>
      <c r="C27">
        <v>82122</v>
      </c>
      <c r="D27">
        <v>40</v>
      </c>
      <c r="E27"/>
      <c r="F27">
        <v>0.5</v>
      </c>
      <c r="G27">
        <v>0.1</v>
      </c>
      <c r="H27">
        <v>0.4</v>
      </c>
      <c r="I27" s="2">
        <f t="shared" si="0"/>
        <v>1</v>
      </c>
      <c r="K27" s="4">
        <v>0</v>
      </c>
      <c r="L27" s="4">
        <v>0</v>
      </c>
      <c r="M27" s="4">
        <v>0</v>
      </c>
      <c r="N27" s="4">
        <v>0.2</v>
      </c>
      <c r="O27" s="4">
        <v>0</v>
      </c>
      <c r="P27" s="2">
        <f t="shared" si="1"/>
        <v>0.2</v>
      </c>
      <c r="Q27" s="8" t="s">
        <v>80</v>
      </c>
      <c r="R27">
        <v>1.2</v>
      </c>
      <c r="S27">
        <v>1</v>
      </c>
      <c r="T27">
        <v>0.5</v>
      </c>
      <c r="U27">
        <v>0</v>
      </c>
      <c r="V27">
        <v>1</v>
      </c>
      <c r="W27" s="2">
        <f t="shared" ref="W27:W35" si="4">SUM(R27:V27)</f>
        <v>3.7</v>
      </c>
      <c r="X27" t="s">
        <v>80</v>
      </c>
      <c r="Y27" s="3">
        <f t="shared" ref="Y27:Y35" si="5">I27*2/1.5+P27*4/10+W27*4/10</f>
        <v>2.8933333333333335</v>
      </c>
      <c r="Z27" s="6" t="s">
        <v>23</v>
      </c>
      <c r="AI27" s="5">
        <v>2.89333333333333</v>
      </c>
      <c r="AJ27" t="s">
        <v>94</v>
      </c>
      <c r="AN27" s="3"/>
    </row>
    <row r="28" spans="1:40">
      <c r="A28">
        <v>23</v>
      </c>
      <c r="B28" t="s">
        <v>48</v>
      </c>
      <c r="C28">
        <v>65519</v>
      </c>
      <c r="D28">
        <v>99</v>
      </c>
      <c r="E28"/>
      <c r="F28">
        <v>0.3</v>
      </c>
      <c r="G28">
        <v>0.1</v>
      </c>
      <c r="H28">
        <v>0.4</v>
      </c>
      <c r="I28" s="2">
        <f t="shared" si="0"/>
        <v>0.8</v>
      </c>
      <c r="K28" s="4">
        <v>0</v>
      </c>
      <c r="L28" s="4">
        <v>0</v>
      </c>
      <c r="M28" s="4">
        <v>0</v>
      </c>
      <c r="N28" s="4">
        <v>1</v>
      </c>
      <c r="O28" s="4">
        <v>2</v>
      </c>
      <c r="P28" s="2">
        <f t="shared" si="1"/>
        <v>3</v>
      </c>
      <c r="Q28" s="8" t="s">
        <v>81</v>
      </c>
      <c r="R28">
        <v>4</v>
      </c>
      <c r="S28">
        <v>1</v>
      </c>
      <c r="T28">
        <v>1.8</v>
      </c>
      <c r="U28">
        <v>0.8</v>
      </c>
      <c r="V28">
        <v>1</v>
      </c>
      <c r="W28" s="2">
        <f t="shared" si="4"/>
        <v>8.6</v>
      </c>
      <c r="X28" t="s">
        <v>80</v>
      </c>
      <c r="Y28" s="3">
        <f t="shared" si="5"/>
        <v>5.706666666666667</v>
      </c>
      <c r="AA28">
        <v>1</v>
      </c>
      <c r="AB28">
        <v>0.5</v>
      </c>
      <c r="AC28">
        <v>0</v>
      </c>
      <c r="AD28">
        <v>1.5</v>
      </c>
      <c r="AE28">
        <v>0.5</v>
      </c>
      <c r="AF28">
        <v>0</v>
      </c>
      <c r="AG28">
        <v>3</v>
      </c>
      <c r="AH28" s="2">
        <f>SUM(AA28:AG28)</f>
        <v>6.5</v>
      </c>
      <c r="AI28" s="5">
        <f>(3*(Y28+Y28) + 4*AH28)/10</f>
        <v>6.024</v>
      </c>
      <c r="AJ28" t="s">
        <v>36</v>
      </c>
      <c r="AN28" s="3"/>
    </row>
    <row r="29" spans="1:40">
      <c r="A29">
        <v>24</v>
      </c>
      <c r="B29" t="s">
        <v>49</v>
      </c>
      <c r="C29">
        <v>86751</v>
      </c>
      <c r="D29">
        <v>99</v>
      </c>
      <c r="E29"/>
      <c r="F29">
        <v>0.5</v>
      </c>
      <c r="G29">
        <v>0.5</v>
      </c>
      <c r="H29">
        <v>0.4</v>
      </c>
      <c r="I29" s="2">
        <f t="shared" si="0"/>
        <v>1.4</v>
      </c>
      <c r="K29" s="4">
        <v>2</v>
      </c>
      <c r="L29" s="4">
        <v>0</v>
      </c>
      <c r="M29" s="4">
        <v>2</v>
      </c>
      <c r="N29" s="4">
        <v>2</v>
      </c>
      <c r="O29" s="4">
        <v>2</v>
      </c>
      <c r="P29" s="2">
        <f t="shared" si="1"/>
        <v>8</v>
      </c>
      <c r="Q29" s="8" t="s">
        <v>81</v>
      </c>
      <c r="R29">
        <v>4</v>
      </c>
      <c r="S29">
        <v>1</v>
      </c>
      <c r="T29">
        <v>2</v>
      </c>
      <c r="U29">
        <v>1.8</v>
      </c>
      <c r="V29">
        <v>1</v>
      </c>
      <c r="W29" s="2">
        <f t="shared" si="4"/>
        <v>9.8000000000000007</v>
      </c>
      <c r="X29" t="s">
        <v>80</v>
      </c>
      <c r="Y29" s="3">
        <f t="shared" si="5"/>
        <v>8.9866666666666664</v>
      </c>
      <c r="AI29" s="5">
        <v>9</v>
      </c>
      <c r="AJ29" t="s">
        <v>36</v>
      </c>
      <c r="AN29" s="3"/>
    </row>
    <row r="30" spans="1:40">
      <c r="A30">
        <v>25</v>
      </c>
      <c r="B30" t="s">
        <v>50</v>
      </c>
      <c r="C30">
        <v>72873</v>
      </c>
      <c r="D30">
        <v>264</v>
      </c>
      <c r="E30"/>
      <c r="F30">
        <v>0.5</v>
      </c>
      <c r="G30">
        <v>0.3</v>
      </c>
      <c r="H30">
        <v>0.4</v>
      </c>
      <c r="I30" s="2">
        <f t="shared" si="0"/>
        <v>1.2000000000000002</v>
      </c>
      <c r="K30" s="4">
        <v>2</v>
      </c>
      <c r="L30" s="4">
        <v>0.5</v>
      </c>
      <c r="M30" s="4">
        <v>2</v>
      </c>
      <c r="N30" s="4">
        <v>2</v>
      </c>
      <c r="O30" s="4">
        <v>2</v>
      </c>
      <c r="P30" s="2">
        <f t="shared" si="1"/>
        <v>8.5</v>
      </c>
      <c r="Q30" s="8" t="s">
        <v>81</v>
      </c>
      <c r="R30">
        <v>4</v>
      </c>
      <c r="S30">
        <v>0.5</v>
      </c>
      <c r="T30">
        <v>1.5</v>
      </c>
      <c r="U30">
        <v>2</v>
      </c>
      <c r="V30">
        <v>1</v>
      </c>
      <c r="W30" s="2">
        <f t="shared" si="4"/>
        <v>9</v>
      </c>
      <c r="X30" t="s">
        <v>81</v>
      </c>
      <c r="Y30" s="3">
        <f t="shared" si="5"/>
        <v>8.6</v>
      </c>
      <c r="AI30" s="3">
        <v>8.6</v>
      </c>
      <c r="AJ30" t="s">
        <v>36</v>
      </c>
      <c r="AN30" s="3"/>
    </row>
    <row r="31" spans="1:40">
      <c r="A31">
        <v>26</v>
      </c>
      <c r="B31" t="s">
        <v>51</v>
      </c>
      <c r="C31">
        <v>71487</v>
      </c>
      <c r="D31">
        <v>264</v>
      </c>
      <c r="E31"/>
      <c r="F31">
        <v>0.3</v>
      </c>
      <c r="G31">
        <v>0.3</v>
      </c>
      <c r="H31">
        <v>0</v>
      </c>
      <c r="I31" s="2">
        <f t="shared" si="0"/>
        <v>0.6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2">
        <f t="shared" si="1"/>
        <v>0</v>
      </c>
      <c r="Q31" s="8" t="s">
        <v>81</v>
      </c>
      <c r="R31">
        <v>2.5</v>
      </c>
      <c r="S31">
        <v>0.5</v>
      </c>
      <c r="T31">
        <v>0.2</v>
      </c>
      <c r="U31">
        <v>0.5</v>
      </c>
      <c r="V31">
        <v>0</v>
      </c>
      <c r="W31" s="2">
        <f t="shared" si="4"/>
        <v>3.7</v>
      </c>
      <c r="X31" t="s">
        <v>81</v>
      </c>
      <c r="Y31" s="3">
        <f t="shared" si="5"/>
        <v>2.2799999999999998</v>
      </c>
      <c r="Z31" s="6" t="s">
        <v>23</v>
      </c>
      <c r="AI31" s="5">
        <v>2.2999999999999998</v>
      </c>
      <c r="AJ31" t="s">
        <v>94</v>
      </c>
      <c r="AN31" s="3"/>
    </row>
    <row r="32" spans="1:40">
      <c r="A32">
        <v>27</v>
      </c>
      <c r="B32" t="s">
        <v>52</v>
      </c>
      <c r="C32">
        <v>66287</v>
      </c>
      <c r="D32">
        <v>40</v>
      </c>
      <c r="E32"/>
      <c r="F32">
        <v>0.5</v>
      </c>
      <c r="G32">
        <v>0.6</v>
      </c>
      <c r="H32">
        <v>0.4</v>
      </c>
      <c r="I32" s="2">
        <f t="shared" si="0"/>
        <v>1.5</v>
      </c>
      <c r="K32" s="4">
        <v>1</v>
      </c>
      <c r="L32" s="4">
        <v>0</v>
      </c>
      <c r="M32" s="4">
        <v>0</v>
      </c>
      <c r="N32" s="4">
        <v>2</v>
      </c>
      <c r="O32" s="4">
        <v>0</v>
      </c>
      <c r="P32" s="2">
        <f t="shared" si="1"/>
        <v>3</v>
      </c>
      <c r="Q32" s="8" t="s">
        <v>81</v>
      </c>
      <c r="R32">
        <v>1.3</v>
      </c>
      <c r="S32">
        <v>0.3</v>
      </c>
      <c r="T32">
        <v>2</v>
      </c>
      <c r="U32">
        <v>1.2</v>
      </c>
      <c r="V32">
        <v>1</v>
      </c>
      <c r="W32" s="2">
        <f t="shared" si="4"/>
        <v>5.8</v>
      </c>
      <c r="X32" t="s">
        <v>80</v>
      </c>
      <c r="Y32" s="3">
        <f t="shared" si="5"/>
        <v>5.52</v>
      </c>
      <c r="Z32" s="6" t="s">
        <v>23</v>
      </c>
      <c r="AA32">
        <v>1</v>
      </c>
      <c r="AB32">
        <v>1</v>
      </c>
      <c r="AC32">
        <v>1</v>
      </c>
      <c r="AD32">
        <v>1.5</v>
      </c>
      <c r="AE32">
        <v>1.5</v>
      </c>
      <c r="AF32">
        <v>1</v>
      </c>
      <c r="AG32">
        <v>3</v>
      </c>
      <c r="AH32" s="2">
        <f>SUM(AA32:AG32)</f>
        <v>10</v>
      </c>
      <c r="AI32" s="5">
        <f>(3*(Y32+Y32) + 4*AH32)/10</f>
        <v>7.3120000000000003</v>
      </c>
      <c r="AJ32" t="s">
        <v>36</v>
      </c>
      <c r="AN32" s="3"/>
    </row>
    <row r="33" spans="1:40">
      <c r="A33">
        <v>28</v>
      </c>
      <c r="B33" t="s">
        <v>53</v>
      </c>
      <c r="C33">
        <v>74076</v>
      </c>
      <c r="D33">
        <v>264</v>
      </c>
      <c r="E33"/>
      <c r="F33">
        <v>0.5</v>
      </c>
      <c r="G33">
        <v>0.3</v>
      </c>
      <c r="H33">
        <v>0.4</v>
      </c>
      <c r="I33" s="2">
        <f t="shared" si="0"/>
        <v>1.2000000000000002</v>
      </c>
      <c r="K33" s="4">
        <v>2</v>
      </c>
      <c r="L33" s="4">
        <v>0.5</v>
      </c>
      <c r="M33" s="4">
        <v>2</v>
      </c>
      <c r="N33" s="4">
        <v>2</v>
      </c>
      <c r="O33" s="4">
        <v>2</v>
      </c>
      <c r="P33" s="2">
        <f t="shared" si="1"/>
        <v>8.5</v>
      </c>
      <c r="Q33" s="8" t="s">
        <v>81</v>
      </c>
      <c r="R33">
        <v>3.5</v>
      </c>
      <c r="S33">
        <v>1</v>
      </c>
      <c r="T33">
        <v>1.5</v>
      </c>
      <c r="U33">
        <v>2</v>
      </c>
      <c r="V33">
        <v>1</v>
      </c>
      <c r="W33" s="2">
        <f t="shared" si="4"/>
        <v>9</v>
      </c>
      <c r="X33" t="s">
        <v>81</v>
      </c>
      <c r="Y33" s="3">
        <f t="shared" si="5"/>
        <v>8.6</v>
      </c>
      <c r="AI33" s="5">
        <v>8.6</v>
      </c>
      <c r="AJ33" t="s">
        <v>36</v>
      </c>
      <c r="AN33" s="3"/>
    </row>
    <row r="34" spans="1:40">
      <c r="A34">
        <v>29</v>
      </c>
      <c r="B34" t="s">
        <v>54</v>
      </c>
      <c r="C34">
        <v>77085</v>
      </c>
      <c r="D34">
        <v>264</v>
      </c>
      <c r="E34" s="1" t="s">
        <v>85</v>
      </c>
      <c r="I34" s="2">
        <f>5.7*1.5/10</f>
        <v>0.85500000000000009</v>
      </c>
      <c r="K34" s="4">
        <v>0.5</v>
      </c>
      <c r="L34" s="4">
        <v>2</v>
      </c>
      <c r="M34" s="4">
        <v>0</v>
      </c>
      <c r="N34" s="4">
        <v>0</v>
      </c>
      <c r="O34" s="4">
        <v>2</v>
      </c>
      <c r="P34" s="2">
        <f t="shared" si="1"/>
        <v>4.5</v>
      </c>
      <c r="Q34" s="8" t="s">
        <v>81</v>
      </c>
      <c r="R34">
        <v>1</v>
      </c>
      <c r="S34">
        <v>0.5</v>
      </c>
      <c r="T34">
        <v>1.2</v>
      </c>
      <c r="U34">
        <v>2</v>
      </c>
      <c r="V34">
        <v>1</v>
      </c>
      <c r="W34" s="2">
        <f t="shared" si="4"/>
        <v>5.7</v>
      </c>
      <c r="X34" t="s">
        <v>81</v>
      </c>
      <c r="Y34" s="3">
        <f t="shared" si="5"/>
        <v>5.2200000000000006</v>
      </c>
      <c r="Z34" s="6" t="s">
        <v>23</v>
      </c>
      <c r="AA34">
        <v>0.6</v>
      </c>
      <c r="AB34">
        <v>0.2</v>
      </c>
      <c r="AC34">
        <v>0</v>
      </c>
      <c r="AD34">
        <v>1.5</v>
      </c>
      <c r="AE34">
        <v>0.2</v>
      </c>
      <c r="AF34">
        <v>0.2</v>
      </c>
      <c r="AG34">
        <v>2</v>
      </c>
      <c r="AH34" s="2">
        <f>SUM(AA34:AG34)</f>
        <v>4.7</v>
      </c>
      <c r="AI34" s="5">
        <f>(3*(Y34+Y34) + 4*AH34)/10</f>
        <v>5.0120000000000005</v>
      </c>
      <c r="AJ34" t="s">
        <v>36</v>
      </c>
      <c r="AN34" s="3"/>
    </row>
    <row r="35" spans="1:40">
      <c r="A35">
        <v>30</v>
      </c>
      <c r="B35" t="s">
        <v>55</v>
      </c>
      <c r="C35">
        <v>87819</v>
      </c>
      <c r="D35">
        <v>264</v>
      </c>
      <c r="E35"/>
      <c r="F35">
        <v>0.5</v>
      </c>
      <c r="G35">
        <v>0.4</v>
      </c>
      <c r="H35">
        <v>0.2</v>
      </c>
      <c r="I35" s="2">
        <f>SUM(F35:H35)</f>
        <v>1.1000000000000001</v>
      </c>
      <c r="K35" s="4">
        <v>2</v>
      </c>
      <c r="L35" s="4">
        <v>2</v>
      </c>
      <c r="M35" s="4">
        <v>2</v>
      </c>
      <c r="N35" s="4">
        <v>0</v>
      </c>
      <c r="O35" s="4">
        <v>2</v>
      </c>
      <c r="P35" s="2">
        <f t="shared" si="1"/>
        <v>8</v>
      </c>
      <c r="Q35" s="8" t="s">
        <v>81</v>
      </c>
      <c r="R35">
        <v>2</v>
      </c>
      <c r="S35">
        <v>0.3</v>
      </c>
      <c r="T35">
        <v>1.5</v>
      </c>
      <c r="U35">
        <v>2</v>
      </c>
      <c r="V35">
        <v>1</v>
      </c>
      <c r="W35" s="2">
        <f t="shared" si="4"/>
        <v>6.8</v>
      </c>
      <c r="X35" t="s">
        <v>80</v>
      </c>
      <c r="Y35" s="3">
        <f t="shared" si="5"/>
        <v>7.3866666666666667</v>
      </c>
      <c r="AI35" s="5">
        <v>7.4</v>
      </c>
      <c r="AJ35" t="s">
        <v>36</v>
      </c>
      <c r="AN35" s="3"/>
    </row>
    <row r="36" spans="1:40">
      <c r="A36">
        <v>31</v>
      </c>
      <c r="B36" t="s">
        <v>56</v>
      </c>
      <c r="C36">
        <v>58277</v>
      </c>
      <c r="D36">
        <v>40</v>
      </c>
      <c r="E36" s="1" t="s">
        <v>92</v>
      </c>
      <c r="F36">
        <v>0</v>
      </c>
      <c r="G36">
        <v>0</v>
      </c>
      <c r="H36">
        <v>0</v>
      </c>
      <c r="I36" s="2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2">
        <f t="shared" si="1"/>
        <v>0</v>
      </c>
      <c r="Q36" s="8" t="s">
        <v>81</v>
      </c>
      <c r="W36"/>
      <c r="Y36" s="3"/>
      <c r="AI36" s="5" t="s">
        <v>12</v>
      </c>
      <c r="AJ36" t="s">
        <v>94</v>
      </c>
      <c r="AN36" s="3"/>
    </row>
    <row r="37" spans="1:40">
      <c r="A37">
        <v>32</v>
      </c>
      <c r="B37" t="s">
        <v>57</v>
      </c>
      <c r="C37">
        <v>78924</v>
      </c>
      <c r="D37">
        <v>264</v>
      </c>
      <c r="E37"/>
      <c r="F37">
        <v>0.4</v>
      </c>
      <c r="G37">
        <v>0.5</v>
      </c>
      <c r="H37">
        <v>0.4</v>
      </c>
      <c r="I37" s="2">
        <f>SUM(F37:H37)</f>
        <v>1.3</v>
      </c>
      <c r="K37" s="4">
        <v>2</v>
      </c>
      <c r="L37" s="4">
        <v>2</v>
      </c>
      <c r="M37" s="4">
        <v>2</v>
      </c>
      <c r="N37" s="4">
        <v>1.5</v>
      </c>
      <c r="O37" s="4">
        <v>2</v>
      </c>
      <c r="P37" s="2">
        <f t="shared" si="1"/>
        <v>9.5</v>
      </c>
      <c r="Q37" s="8" t="s">
        <v>80</v>
      </c>
      <c r="R37">
        <v>4</v>
      </c>
      <c r="S37">
        <v>1</v>
      </c>
      <c r="T37">
        <v>1.25</v>
      </c>
      <c r="U37">
        <v>0</v>
      </c>
      <c r="V37">
        <v>0</v>
      </c>
      <c r="W37" s="2">
        <f>SUM(R37:V37)</f>
        <v>6.25</v>
      </c>
      <c r="X37" t="s">
        <v>80</v>
      </c>
      <c r="Y37" s="3">
        <f>I37*2/1.5+P37*4/10+W37*4/10</f>
        <v>8.0333333333333332</v>
      </c>
      <c r="AI37" s="5">
        <v>8</v>
      </c>
      <c r="AJ37" t="s">
        <v>36</v>
      </c>
      <c r="AN37" s="3"/>
    </row>
    <row r="38" spans="1:40">
      <c r="A38">
        <v>33</v>
      </c>
      <c r="B38" t="s">
        <v>58</v>
      </c>
      <c r="C38">
        <v>82121</v>
      </c>
      <c r="D38">
        <v>40</v>
      </c>
      <c r="E38"/>
      <c r="F38">
        <v>0.3</v>
      </c>
      <c r="G38">
        <v>0.4</v>
      </c>
      <c r="H38">
        <v>0.4</v>
      </c>
      <c r="I38" s="2">
        <f>SUM(F38:H38)</f>
        <v>1.1000000000000001</v>
      </c>
      <c r="K38" s="4">
        <v>0</v>
      </c>
      <c r="L38" s="4">
        <v>2</v>
      </c>
      <c r="M38" s="4">
        <v>1</v>
      </c>
      <c r="N38" s="4">
        <v>2</v>
      </c>
      <c r="O38" s="4">
        <v>0</v>
      </c>
      <c r="P38" s="2">
        <f t="shared" ref="P38:P57" si="6">SUM(K38:O38)</f>
        <v>5</v>
      </c>
      <c r="Q38" s="8" t="s">
        <v>80</v>
      </c>
      <c r="R38">
        <v>4</v>
      </c>
      <c r="S38">
        <v>0.3</v>
      </c>
      <c r="T38">
        <v>1.4</v>
      </c>
      <c r="U38">
        <v>1.5</v>
      </c>
      <c r="V38">
        <v>1</v>
      </c>
      <c r="W38" s="2">
        <v>8.8000000000000007</v>
      </c>
      <c r="X38" t="s">
        <v>80</v>
      </c>
      <c r="Y38" s="3">
        <f>I38*2/1.5+P38*4/10+W38*4/10</f>
        <v>6.9866666666666672</v>
      </c>
      <c r="Z38" s="6"/>
      <c r="AI38" s="5">
        <v>7</v>
      </c>
      <c r="AJ38" t="s">
        <v>36</v>
      </c>
      <c r="AN38" s="3"/>
    </row>
    <row r="39" spans="1:40">
      <c r="A39">
        <v>34</v>
      </c>
      <c r="B39" t="s">
        <v>59</v>
      </c>
      <c r="C39">
        <v>87814</v>
      </c>
      <c r="D39">
        <v>264</v>
      </c>
      <c r="E39"/>
      <c r="F39">
        <v>0.4</v>
      </c>
      <c r="G39">
        <v>0.2</v>
      </c>
      <c r="H39">
        <v>0.2</v>
      </c>
      <c r="I39" s="2">
        <f>SUM(F39:H39)</f>
        <v>0.8</v>
      </c>
      <c r="K39" s="4">
        <v>0</v>
      </c>
      <c r="L39" s="4">
        <v>0</v>
      </c>
      <c r="M39" s="4">
        <v>0</v>
      </c>
      <c r="N39" s="4">
        <v>0</v>
      </c>
      <c r="O39" s="4">
        <v>2</v>
      </c>
      <c r="P39" s="2">
        <f t="shared" si="6"/>
        <v>2</v>
      </c>
      <c r="Q39" s="8" t="s">
        <v>80</v>
      </c>
      <c r="W39"/>
      <c r="Y39" s="3"/>
      <c r="AI39" s="5" t="s">
        <v>12</v>
      </c>
      <c r="AJ39" t="s">
        <v>94</v>
      </c>
      <c r="AN39" s="3"/>
    </row>
    <row r="40" spans="1:40">
      <c r="A40">
        <v>35</v>
      </c>
      <c r="B40" t="s">
        <v>60</v>
      </c>
      <c r="C40">
        <v>74073</v>
      </c>
      <c r="D40">
        <v>264</v>
      </c>
      <c r="E40"/>
      <c r="F40">
        <v>0.2</v>
      </c>
      <c r="G40">
        <v>0.1</v>
      </c>
      <c r="H40">
        <v>0</v>
      </c>
      <c r="I40" s="2">
        <f>SUM(F40:H40)</f>
        <v>0.30000000000000004</v>
      </c>
      <c r="K40" s="4">
        <v>0</v>
      </c>
      <c r="L40" s="4">
        <v>0.2</v>
      </c>
      <c r="M40" s="4">
        <v>2</v>
      </c>
      <c r="N40" s="4">
        <v>0</v>
      </c>
      <c r="O40" s="4">
        <v>2</v>
      </c>
      <c r="P40" s="2">
        <f t="shared" si="6"/>
        <v>4.2</v>
      </c>
      <c r="Q40" s="8" t="s">
        <v>80</v>
      </c>
      <c r="R40">
        <v>2.5</v>
      </c>
      <c r="S40">
        <v>0.5</v>
      </c>
      <c r="T40">
        <v>1</v>
      </c>
      <c r="U40">
        <v>1</v>
      </c>
      <c r="V40">
        <v>1</v>
      </c>
      <c r="W40" s="2">
        <f>SUM(R40:V40)</f>
        <v>6</v>
      </c>
      <c r="X40" t="s">
        <v>81</v>
      </c>
      <c r="Y40" s="3">
        <f>I40*2/1.5+P40*4/10+W40*4/10</f>
        <v>4.4800000000000004</v>
      </c>
      <c r="Z40" s="6" t="s">
        <v>23</v>
      </c>
      <c r="AA40">
        <v>0.8</v>
      </c>
      <c r="AB40">
        <v>0.6</v>
      </c>
      <c r="AC40">
        <v>0</v>
      </c>
      <c r="AD40">
        <v>1.5</v>
      </c>
      <c r="AE40">
        <v>1.4</v>
      </c>
      <c r="AF40">
        <v>0</v>
      </c>
      <c r="AG40">
        <v>1.5</v>
      </c>
      <c r="AH40" s="2">
        <f>SUM(AA40:AG40)</f>
        <v>5.8</v>
      </c>
      <c r="AI40" s="5">
        <f>(3*(Y40+Y40) + 4*AH40)/10</f>
        <v>5.008</v>
      </c>
      <c r="AJ40" t="s">
        <v>36</v>
      </c>
      <c r="AN40" s="3"/>
    </row>
    <row r="41" spans="1:40">
      <c r="A41">
        <v>36</v>
      </c>
      <c r="B41" t="s">
        <v>61</v>
      </c>
      <c r="C41">
        <v>104549</v>
      </c>
      <c r="D41">
        <v>264</v>
      </c>
      <c r="E41" t="s">
        <v>92</v>
      </c>
      <c r="F41">
        <v>0.3</v>
      </c>
      <c r="G41">
        <v>0</v>
      </c>
      <c r="H41">
        <v>0</v>
      </c>
      <c r="I41" s="2">
        <f>SUM(F41:H41)</f>
        <v>0.3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2">
        <f t="shared" si="6"/>
        <v>0</v>
      </c>
      <c r="W41"/>
      <c r="Y41" s="3"/>
      <c r="AI41" s="5" t="s">
        <v>12</v>
      </c>
      <c r="AJ41" t="s">
        <v>94</v>
      </c>
      <c r="AN41" s="3"/>
    </row>
    <row r="42" spans="1:40">
      <c r="A42">
        <v>37</v>
      </c>
      <c r="B42" t="s">
        <v>62</v>
      </c>
      <c r="C42">
        <v>85670</v>
      </c>
      <c r="D42">
        <v>264</v>
      </c>
      <c r="E42" s="1" t="s">
        <v>92</v>
      </c>
      <c r="F42">
        <v>0</v>
      </c>
      <c r="G42">
        <v>0</v>
      </c>
      <c r="H42">
        <v>0</v>
      </c>
      <c r="I42" s="2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2">
        <f t="shared" si="6"/>
        <v>0</v>
      </c>
      <c r="W42"/>
      <c r="Y42" s="3"/>
      <c r="AI42" s="5" t="s">
        <v>12</v>
      </c>
      <c r="AJ42" t="s">
        <v>94</v>
      </c>
      <c r="AN42" s="3"/>
    </row>
    <row r="43" spans="1:40">
      <c r="A43">
        <v>38</v>
      </c>
      <c r="B43" t="s">
        <v>63</v>
      </c>
      <c r="C43">
        <v>104550</v>
      </c>
      <c r="D43">
        <v>264</v>
      </c>
      <c r="E43"/>
      <c r="F43">
        <v>0.4</v>
      </c>
      <c r="G43">
        <v>0.4</v>
      </c>
      <c r="H43">
        <v>0.4</v>
      </c>
      <c r="I43" s="2">
        <f t="shared" ref="I43:I52" si="7">SUM(F43:H43)</f>
        <v>1.2000000000000002</v>
      </c>
      <c r="K43" s="4">
        <v>2</v>
      </c>
      <c r="L43" s="4">
        <v>1</v>
      </c>
      <c r="M43" s="4">
        <v>2</v>
      </c>
      <c r="N43" s="4">
        <v>2</v>
      </c>
      <c r="O43" s="4">
        <v>2</v>
      </c>
      <c r="P43" s="2">
        <f t="shared" si="6"/>
        <v>9</v>
      </c>
      <c r="Q43" s="8" t="s">
        <v>80</v>
      </c>
      <c r="R43">
        <v>2.5</v>
      </c>
      <c r="S43">
        <v>0.5</v>
      </c>
      <c r="T43">
        <v>0.5</v>
      </c>
      <c r="U43">
        <v>1</v>
      </c>
      <c r="V43">
        <v>1</v>
      </c>
      <c r="W43" s="2">
        <f>SUM(R43:V43)</f>
        <v>5.5</v>
      </c>
      <c r="X43" t="s">
        <v>80</v>
      </c>
      <c r="Y43" s="3">
        <f>I43*2/1.5+P43*4/10+W43*4/10</f>
        <v>7.4</v>
      </c>
      <c r="AI43" s="5">
        <v>7.4</v>
      </c>
      <c r="AJ43" t="s">
        <v>36</v>
      </c>
      <c r="AN43" s="3"/>
    </row>
    <row r="44" spans="1:40">
      <c r="A44">
        <v>39</v>
      </c>
      <c r="B44" t="s">
        <v>64</v>
      </c>
      <c r="C44">
        <v>81239</v>
      </c>
      <c r="D44">
        <v>264</v>
      </c>
      <c r="E44"/>
      <c r="F44">
        <v>0.3</v>
      </c>
      <c r="G44">
        <v>0.6</v>
      </c>
      <c r="H44">
        <v>0.4</v>
      </c>
      <c r="I44" s="2">
        <f t="shared" si="7"/>
        <v>1.2999999999999998</v>
      </c>
      <c r="K44" s="4">
        <v>1</v>
      </c>
      <c r="L44" s="4">
        <v>0</v>
      </c>
      <c r="M44" s="4">
        <v>2</v>
      </c>
      <c r="N44" s="4">
        <v>2</v>
      </c>
      <c r="O44" s="4">
        <v>2</v>
      </c>
      <c r="P44" s="2">
        <f t="shared" si="6"/>
        <v>7</v>
      </c>
      <c r="Q44" s="8" t="s">
        <v>80</v>
      </c>
      <c r="R44">
        <v>0.5</v>
      </c>
      <c r="S44">
        <v>1</v>
      </c>
      <c r="T44">
        <v>1.5</v>
      </c>
      <c r="U44">
        <v>1</v>
      </c>
      <c r="V44">
        <v>1</v>
      </c>
      <c r="W44" s="2">
        <f>SUM(R44:V44)</f>
        <v>5</v>
      </c>
      <c r="X44" t="s">
        <v>80</v>
      </c>
      <c r="Y44" s="3">
        <f>I44*2/1.5+P44*4/10+W44*4/10</f>
        <v>6.5333333333333332</v>
      </c>
      <c r="Z44" s="6" t="s">
        <v>23</v>
      </c>
      <c r="AA44">
        <v>0.4</v>
      </c>
      <c r="AB44">
        <v>1</v>
      </c>
      <c r="AC44">
        <v>1</v>
      </c>
      <c r="AD44">
        <v>1.5</v>
      </c>
      <c r="AE44">
        <v>1.5</v>
      </c>
      <c r="AF44">
        <v>0</v>
      </c>
      <c r="AG44">
        <v>0.6</v>
      </c>
      <c r="AH44" s="2">
        <f>SUM(AA44:AG44)</f>
        <v>6</v>
      </c>
      <c r="AI44" s="5">
        <f>(3*(Y44+Y44) + 4*AH44)/10</f>
        <v>6.32</v>
      </c>
      <c r="AJ44" t="s">
        <v>36</v>
      </c>
      <c r="AN44" s="3"/>
    </row>
    <row r="45" spans="1:40">
      <c r="A45">
        <v>40</v>
      </c>
      <c r="B45" t="s">
        <v>65</v>
      </c>
      <c r="C45">
        <v>56453</v>
      </c>
      <c r="D45">
        <v>40</v>
      </c>
      <c r="E45"/>
      <c r="F45">
        <v>0.5</v>
      </c>
      <c r="G45">
        <v>0.5</v>
      </c>
      <c r="H45">
        <v>0.4</v>
      </c>
      <c r="I45" s="2">
        <f t="shared" si="7"/>
        <v>1.4</v>
      </c>
      <c r="K45" s="4">
        <v>1</v>
      </c>
      <c r="L45" s="4">
        <v>1</v>
      </c>
      <c r="M45" s="4">
        <v>2</v>
      </c>
      <c r="N45" s="4">
        <v>0</v>
      </c>
      <c r="O45" s="4">
        <v>2</v>
      </c>
      <c r="P45" s="2">
        <f t="shared" si="6"/>
        <v>6</v>
      </c>
      <c r="Q45" s="8" t="s">
        <v>80</v>
      </c>
      <c r="R45">
        <v>1.5</v>
      </c>
      <c r="S45">
        <v>0.3</v>
      </c>
      <c r="T45">
        <v>0.5</v>
      </c>
      <c r="U45">
        <v>0</v>
      </c>
      <c r="V45">
        <v>1</v>
      </c>
      <c r="W45" s="2">
        <f>SUM(R45:V45)</f>
        <v>3.3</v>
      </c>
      <c r="X45" t="s">
        <v>80</v>
      </c>
      <c r="Y45" s="3">
        <f>I45*2/1.5+P45*4/10+W45*4/10</f>
        <v>5.586666666666666</v>
      </c>
      <c r="Z45" s="6" t="s">
        <v>23</v>
      </c>
      <c r="AA45">
        <v>0.8</v>
      </c>
      <c r="AB45">
        <v>1</v>
      </c>
      <c r="AC45">
        <v>1.5</v>
      </c>
      <c r="AD45">
        <v>1.5</v>
      </c>
      <c r="AE45">
        <v>0.4</v>
      </c>
      <c r="AF45">
        <v>1</v>
      </c>
      <c r="AG45">
        <v>1.5</v>
      </c>
      <c r="AH45" s="2">
        <f>SUM(AA45:AG45)</f>
        <v>7.7</v>
      </c>
      <c r="AI45" s="5">
        <f>(3*(Y45+Y45) + 4*AH45)/10</f>
        <v>6.4319999999999995</v>
      </c>
      <c r="AJ45" t="s">
        <v>36</v>
      </c>
      <c r="AN45" s="3"/>
    </row>
    <row r="46" spans="1:40">
      <c r="A46">
        <v>41</v>
      </c>
      <c r="B46" t="s">
        <v>66</v>
      </c>
      <c r="C46">
        <v>58306</v>
      </c>
      <c r="D46">
        <v>40</v>
      </c>
      <c r="F46">
        <v>0.4</v>
      </c>
      <c r="G46">
        <v>0.4</v>
      </c>
      <c r="H46">
        <v>0</v>
      </c>
      <c r="I46" s="2">
        <f t="shared" si="7"/>
        <v>0.8</v>
      </c>
      <c r="K46" s="4">
        <v>1</v>
      </c>
      <c r="L46" s="4">
        <v>0</v>
      </c>
      <c r="M46" s="4">
        <v>0.8</v>
      </c>
      <c r="N46" s="4">
        <v>1</v>
      </c>
      <c r="O46" s="4">
        <v>0</v>
      </c>
      <c r="P46" s="2">
        <f t="shared" si="6"/>
        <v>2.8</v>
      </c>
      <c r="Q46" s="9" t="s">
        <v>80</v>
      </c>
      <c r="R46">
        <v>2</v>
      </c>
      <c r="S46">
        <v>0.5</v>
      </c>
      <c r="T46">
        <v>1.5</v>
      </c>
      <c r="U46">
        <v>2</v>
      </c>
      <c r="V46">
        <v>1</v>
      </c>
      <c r="W46" s="2">
        <f>SUM(R46:V46)</f>
        <v>7</v>
      </c>
      <c r="X46" t="s">
        <v>81</v>
      </c>
      <c r="Y46" s="3">
        <f>I46*2/1.5+P46*4/10+W46*4/10</f>
        <v>4.9866666666666664</v>
      </c>
      <c r="Z46" s="6" t="s">
        <v>23</v>
      </c>
      <c r="AA46">
        <v>0.6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1.5</v>
      </c>
      <c r="AH46" s="2">
        <f>SUM(AA46:AG46)</f>
        <v>5.0999999999999996</v>
      </c>
      <c r="AI46" s="5">
        <f>(3*(Y46+Y46) + 4*AH46)/10</f>
        <v>5.0319999999999991</v>
      </c>
      <c r="AJ46" t="s">
        <v>36</v>
      </c>
      <c r="AN46" s="3"/>
    </row>
    <row r="47" spans="1:40">
      <c r="A47">
        <v>42</v>
      </c>
      <c r="B47" t="s">
        <v>67</v>
      </c>
      <c r="C47">
        <v>56942</v>
      </c>
      <c r="D47">
        <v>154</v>
      </c>
      <c r="E47" s="1" t="s">
        <v>92</v>
      </c>
      <c r="F47">
        <v>0</v>
      </c>
      <c r="G47">
        <v>0</v>
      </c>
      <c r="H47">
        <v>0</v>
      </c>
      <c r="I47" s="2">
        <f t="shared" si="7"/>
        <v>0</v>
      </c>
      <c r="K47" s="4">
        <v>1</v>
      </c>
      <c r="L47" s="4">
        <v>0</v>
      </c>
      <c r="M47" s="4">
        <v>0.8</v>
      </c>
      <c r="N47" s="4">
        <v>1</v>
      </c>
      <c r="O47" s="4">
        <v>0</v>
      </c>
      <c r="P47" s="2">
        <f t="shared" si="6"/>
        <v>2.8</v>
      </c>
      <c r="W47"/>
      <c r="Y47" s="3"/>
      <c r="AI47" s="5" t="s">
        <v>12</v>
      </c>
      <c r="AJ47" t="s">
        <v>94</v>
      </c>
      <c r="AN47" s="3"/>
    </row>
    <row r="48" spans="1:40">
      <c r="A48">
        <v>43</v>
      </c>
      <c r="B48" t="s">
        <v>68</v>
      </c>
      <c r="C48">
        <v>80288</v>
      </c>
      <c r="D48">
        <v>263</v>
      </c>
      <c r="E48"/>
      <c r="F48">
        <v>0.4</v>
      </c>
      <c r="G48">
        <v>0.4</v>
      </c>
      <c r="H48">
        <v>0</v>
      </c>
      <c r="I48" s="2">
        <f t="shared" si="7"/>
        <v>0.8</v>
      </c>
      <c r="K48" s="4">
        <v>2</v>
      </c>
      <c r="L48" s="4">
        <v>0</v>
      </c>
      <c r="M48" s="4">
        <v>2</v>
      </c>
      <c r="N48" s="4">
        <v>2</v>
      </c>
      <c r="O48" s="4">
        <v>1</v>
      </c>
      <c r="P48" s="2">
        <f t="shared" si="6"/>
        <v>7</v>
      </c>
      <c r="Q48" s="8" t="s">
        <v>80</v>
      </c>
      <c r="R48">
        <v>0</v>
      </c>
      <c r="S48">
        <v>0.5</v>
      </c>
      <c r="T48">
        <v>1</v>
      </c>
      <c r="U48">
        <v>2</v>
      </c>
      <c r="V48">
        <v>1</v>
      </c>
      <c r="W48" s="2">
        <f t="shared" ref="W48:W54" si="8">SUM(R48:V48)</f>
        <v>4.5</v>
      </c>
      <c r="X48" t="s">
        <v>81</v>
      </c>
      <c r="Y48" s="3">
        <f t="shared" ref="Y48:Y54" si="9">I48*2/1.5+P48*4/10+W48*4/10</f>
        <v>5.6666666666666661</v>
      </c>
      <c r="Z48" s="6" t="s">
        <v>23</v>
      </c>
      <c r="AA48">
        <v>0.4</v>
      </c>
      <c r="AB48">
        <v>0.5</v>
      </c>
      <c r="AC48">
        <v>1</v>
      </c>
      <c r="AD48">
        <v>0</v>
      </c>
      <c r="AE48">
        <v>0.5</v>
      </c>
      <c r="AF48">
        <v>0</v>
      </c>
      <c r="AG48">
        <v>0</v>
      </c>
      <c r="AH48" s="2">
        <f>SUM(AA48:AG48)</f>
        <v>2.4</v>
      </c>
      <c r="AI48" s="5">
        <f>(3*(Y48+Y48) + 4*AH48)/10</f>
        <v>4.3600000000000003</v>
      </c>
      <c r="AJ48" t="s">
        <v>94</v>
      </c>
      <c r="AN48" s="3"/>
    </row>
    <row r="49" spans="1:40">
      <c r="A49">
        <v>44</v>
      </c>
      <c r="B49" t="s">
        <v>69</v>
      </c>
      <c r="C49">
        <v>57595</v>
      </c>
      <c r="D49">
        <v>264</v>
      </c>
      <c r="E49"/>
      <c r="F49">
        <v>0.3</v>
      </c>
      <c r="G49">
        <v>0.5</v>
      </c>
      <c r="H49">
        <v>0</v>
      </c>
      <c r="I49" s="2">
        <f t="shared" si="7"/>
        <v>0.8</v>
      </c>
      <c r="K49" s="4">
        <v>0</v>
      </c>
      <c r="L49" s="4">
        <v>2</v>
      </c>
      <c r="M49" s="4">
        <v>0</v>
      </c>
      <c r="N49" s="4">
        <v>0</v>
      </c>
      <c r="O49" s="4">
        <v>0</v>
      </c>
      <c r="P49" s="2">
        <v>4.2</v>
      </c>
      <c r="Q49" s="8" t="s">
        <v>82</v>
      </c>
      <c r="R49">
        <v>3.5</v>
      </c>
      <c r="S49">
        <v>0.5</v>
      </c>
      <c r="T49">
        <v>1</v>
      </c>
      <c r="U49">
        <v>0</v>
      </c>
      <c r="V49">
        <v>1</v>
      </c>
      <c r="W49" s="2">
        <f t="shared" si="8"/>
        <v>6</v>
      </c>
      <c r="X49" t="s">
        <v>81</v>
      </c>
      <c r="Y49" s="3">
        <f t="shared" si="9"/>
        <v>5.1466666666666665</v>
      </c>
      <c r="Z49" s="6" t="s">
        <v>23</v>
      </c>
      <c r="AA49">
        <v>0.8</v>
      </c>
      <c r="AB49">
        <v>1</v>
      </c>
      <c r="AC49">
        <v>0</v>
      </c>
      <c r="AD49">
        <v>1.5</v>
      </c>
      <c r="AE49">
        <v>0.5</v>
      </c>
      <c r="AF49">
        <v>1</v>
      </c>
      <c r="AG49">
        <v>2</v>
      </c>
      <c r="AH49" s="2">
        <f>SUM(AA49:AG49)</f>
        <v>6.8</v>
      </c>
      <c r="AI49" s="5">
        <f>(3*(Y49+Y49) + 4*AH49)/10</f>
        <v>5.8079999999999998</v>
      </c>
      <c r="AJ49" t="s">
        <v>36</v>
      </c>
      <c r="AN49" s="3"/>
    </row>
    <row r="50" spans="1:40">
      <c r="A50">
        <v>45</v>
      </c>
      <c r="B50" t="s">
        <v>70</v>
      </c>
      <c r="C50">
        <v>74075</v>
      </c>
      <c r="D50">
        <v>264</v>
      </c>
      <c r="E50"/>
      <c r="F50">
        <v>0.5</v>
      </c>
      <c r="G50">
        <v>0.3</v>
      </c>
      <c r="H50">
        <v>0.4</v>
      </c>
      <c r="I50" s="2">
        <f t="shared" si="7"/>
        <v>1.2000000000000002</v>
      </c>
      <c r="K50" s="4">
        <v>1</v>
      </c>
      <c r="L50" s="4">
        <v>2</v>
      </c>
      <c r="M50" s="4">
        <v>2</v>
      </c>
      <c r="N50" s="4">
        <v>0</v>
      </c>
      <c r="O50" s="4">
        <v>2</v>
      </c>
      <c r="P50" s="2">
        <f t="shared" si="6"/>
        <v>7</v>
      </c>
      <c r="Q50" s="8" t="s">
        <v>81</v>
      </c>
      <c r="R50">
        <v>4</v>
      </c>
      <c r="S50">
        <v>0.5</v>
      </c>
      <c r="T50">
        <v>1.5</v>
      </c>
      <c r="U50">
        <v>2</v>
      </c>
      <c r="V50">
        <v>1</v>
      </c>
      <c r="W50" s="2">
        <f t="shared" si="8"/>
        <v>9</v>
      </c>
      <c r="X50" t="s">
        <v>81</v>
      </c>
      <c r="Y50" s="3">
        <f t="shared" si="9"/>
        <v>8</v>
      </c>
      <c r="AI50" s="5">
        <v>8</v>
      </c>
      <c r="AJ50" t="s">
        <v>36</v>
      </c>
      <c r="AN50" s="3"/>
    </row>
    <row r="51" spans="1:40">
      <c r="A51">
        <v>46</v>
      </c>
      <c r="B51" t="s">
        <v>71</v>
      </c>
      <c r="C51">
        <v>81341</v>
      </c>
      <c r="D51">
        <v>40</v>
      </c>
      <c r="E51"/>
      <c r="F51">
        <v>0.3</v>
      </c>
      <c r="G51">
        <v>0.1</v>
      </c>
      <c r="H51">
        <v>0</v>
      </c>
      <c r="I51" s="2">
        <f t="shared" si="7"/>
        <v>0.4</v>
      </c>
      <c r="K51" s="4">
        <v>0</v>
      </c>
      <c r="L51" s="4">
        <v>0</v>
      </c>
      <c r="M51" s="4">
        <v>0</v>
      </c>
      <c r="N51" s="4">
        <v>2</v>
      </c>
      <c r="O51" s="4">
        <v>0</v>
      </c>
      <c r="P51" s="2">
        <f t="shared" si="6"/>
        <v>2</v>
      </c>
      <c r="Q51" s="8" t="s">
        <v>81</v>
      </c>
      <c r="R51">
        <v>0</v>
      </c>
      <c r="S51">
        <v>0</v>
      </c>
      <c r="T51">
        <v>1</v>
      </c>
      <c r="U51">
        <v>0</v>
      </c>
      <c r="V51">
        <v>0.5</v>
      </c>
      <c r="W51" s="2">
        <f t="shared" si="8"/>
        <v>1.5</v>
      </c>
      <c r="X51" t="s">
        <v>81</v>
      </c>
      <c r="Y51" s="3">
        <f t="shared" si="9"/>
        <v>1.9333333333333336</v>
      </c>
      <c r="Z51" s="6" t="s">
        <v>23</v>
      </c>
      <c r="AA51">
        <v>0.4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1</v>
      </c>
      <c r="AH51" s="2">
        <f>SUM(AA51:AG51)</f>
        <v>3.4</v>
      </c>
      <c r="AI51" s="5">
        <f>(3*(Y51+Y51) + 4*AH51)/10</f>
        <v>2.5200000000000005</v>
      </c>
      <c r="AJ51" t="s">
        <v>94</v>
      </c>
      <c r="AN51" s="3"/>
    </row>
    <row r="52" spans="1:40">
      <c r="A52">
        <v>47</v>
      </c>
      <c r="B52" t="s">
        <v>72</v>
      </c>
      <c r="C52">
        <v>63936</v>
      </c>
      <c r="D52">
        <v>30</v>
      </c>
      <c r="E52"/>
      <c r="F52">
        <v>0.2</v>
      </c>
      <c r="G52">
        <v>0.3</v>
      </c>
      <c r="H52">
        <v>0.4</v>
      </c>
      <c r="I52" s="2">
        <f t="shared" si="7"/>
        <v>0.9</v>
      </c>
      <c r="K52" s="4">
        <v>2</v>
      </c>
      <c r="L52" s="4">
        <v>0</v>
      </c>
      <c r="M52" s="4">
        <v>2</v>
      </c>
      <c r="N52" s="4">
        <v>2</v>
      </c>
      <c r="O52" s="4">
        <v>2</v>
      </c>
      <c r="P52" s="2">
        <f t="shared" si="6"/>
        <v>8</v>
      </c>
      <c r="Q52" s="8" t="s">
        <v>80</v>
      </c>
      <c r="R52">
        <v>4</v>
      </c>
      <c r="S52">
        <v>1</v>
      </c>
      <c r="T52">
        <v>1.3</v>
      </c>
      <c r="U52">
        <v>2</v>
      </c>
      <c r="V52">
        <v>1</v>
      </c>
      <c r="W52" s="2">
        <f t="shared" si="8"/>
        <v>9.3000000000000007</v>
      </c>
      <c r="X52" t="s">
        <v>80</v>
      </c>
      <c r="Y52" s="3">
        <f t="shared" si="9"/>
        <v>8.120000000000001</v>
      </c>
      <c r="AI52" s="5">
        <v>8.1</v>
      </c>
      <c r="AJ52" t="s">
        <v>36</v>
      </c>
      <c r="AN52" s="3"/>
    </row>
    <row r="53" spans="1:40">
      <c r="A53">
        <v>48</v>
      </c>
      <c r="B53" t="s">
        <v>73</v>
      </c>
      <c r="C53">
        <v>61818</v>
      </c>
      <c r="D53">
        <v>264</v>
      </c>
      <c r="F53">
        <v>0</v>
      </c>
      <c r="G53">
        <v>0</v>
      </c>
      <c r="H53">
        <v>0</v>
      </c>
      <c r="I53">
        <v>0</v>
      </c>
      <c r="K53" s="4">
        <v>2</v>
      </c>
      <c r="L53" s="4">
        <v>2</v>
      </c>
      <c r="M53" s="4">
        <v>2</v>
      </c>
      <c r="N53" s="4">
        <v>2</v>
      </c>
      <c r="O53" s="4">
        <v>2</v>
      </c>
      <c r="P53" s="2">
        <f t="shared" si="6"/>
        <v>10</v>
      </c>
      <c r="Q53" s="8" t="s">
        <v>80</v>
      </c>
      <c r="R53">
        <v>2</v>
      </c>
      <c r="S53">
        <v>1</v>
      </c>
      <c r="T53">
        <v>2</v>
      </c>
      <c r="U53">
        <v>2</v>
      </c>
      <c r="V53">
        <v>1</v>
      </c>
      <c r="W53" s="2">
        <f t="shared" si="8"/>
        <v>8</v>
      </c>
      <c r="X53" t="s">
        <v>81</v>
      </c>
      <c r="Y53" s="3">
        <f t="shared" si="9"/>
        <v>7.2</v>
      </c>
      <c r="AI53" s="5">
        <v>7.2</v>
      </c>
      <c r="AJ53" t="s">
        <v>36</v>
      </c>
      <c r="AN53" s="3"/>
    </row>
    <row r="54" spans="1:40">
      <c r="A54">
        <v>49</v>
      </c>
      <c r="B54" t="s">
        <v>74</v>
      </c>
      <c r="C54">
        <v>110071</v>
      </c>
      <c r="D54">
        <v>264</v>
      </c>
      <c r="E54"/>
      <c r="F54">
        <v>0.5</v>
      </c>
      <c r="G54">
        <v>0.2</v>
      </c>
      <c r="H54">
        <v>0.4</v>
      </c>
      <c r="I54" s="2">
        <f>SUM(F54:H54)</f>
        <v>1.1000000000000001</v>
      </c>
      <c r="K54" s="4">
        <v>0</v>
      </c>
      <c r="L54" s="4">
        <v>1</v>
      </c>
      <c r="M54" s="4">
        <v>0</v>
      </c>
      <c r="N54" s="4">
        <v>1</v>
      </c>
      <c r="O54" s="4">
        <v>2</v>
      </c>
      <c r="P54" s="2">
        <f t="shared" si="6"/>
        <v>4</v>
      </c>
      <c r="Q54" s="8" t="s">
        <v>81</v>
      </c>
      <c r="R54">
        <v>1</v>
      </c>
      <c r="S54">
        <v>1</v>
      </c>
      <c r="T54">
        <v>1</v>
      </c>
      <c r="U54">
        <v>2</v>
      </c>
      <c r="V54">
        <v>1</v>
      </c>
      <c r="W54" s="2">
        <f t="shared" si="8"/>
        <v>6</v>
      </c>
      <c r="X54" t="s">
        <v>81</v>
      </c>
      <c r="Y54" s="3">
        <f t="shared" si="9"/>
        <v>5.4666666666666668</v>
      </c>
      <c r="Z54" s="6" t="s">
        <v>23</v>
      </c>
      <c r="AA54">
        <v>0.4</v>
      </c>
      <c r="AB54">
        <v>0.5</v>
      </c>
      <c r="AC54">
        <v>1</v>
      </c>
      <c r="AD54">
        <v>1.5</v>
      </c>
      <c r="AE54">
        <v>0.5</v>
      </c>
      <c r="AF54">
        <v>1</v>
      </c>
      <c r="AG54">
        <v>2</v>
      </c>
      <c r="AH54" s="2">
        <f>SUM(AA54:AG54)</f>
        <v>6.9</v>
      </c>
      <c r="AI54" s="5">
        <f>(3*(Y54+Y54) + 4*AH54)/10</f>
        <v>6.04</v>
      </c>
      <c r="AJ54" t="s">
        <v>36</v>
      </c>
      <c r="AN54" s="3"/>
    </row>
    <row r="55" spans="1:40">
      <c r="A55">
        <v>50</v>
      </c>
      <c r="B55" t="s">
        <v>75</v>
      </c>
      <c r="C55">
        <v>84184</v>
      </c>
      <c r="D55">
        <v>99</v>
      </c>
      <c r="E55" s="10" t="s">
        <v>92</v>
      </c>
      <c r="F55">
        <v>0.3</v>
      </c>
      <c r="G55">
        <v>0.4</v>
      </c>
      <c r="H55">
        <v>0.4</v>
      </c>
      <c r="I55" s="2">
        <f>SUM(F55:H55)</f>
        <v>1.1000000000000001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2">
        <f t="shared" si="6"/>
        <v>0</v>
      </c>
      <c r="W55"/>
      <c r="Y55" s="3"/>
      <c r="AI55" s="5" t="s">
        <v>12</v>
      </c>
      <c r="AJ55" t="s">
        <v>94</v>
      </c>
      <c r="AN55" s="3"/>
    </row>
    <row r="56" spans="1:40">
      <c r="A56">
        <v>51</v>
      </c>
      <c r="B56" t="s">
        <v>76</v>
      </c>
      <c r="C56">
        <v>111748</v>
      </c>
      <c r="D56">
        <v>99</v>
      </c>
      <c r="E56" s="1" t="s">
        <v>92</v>
      </c>
      <c r="F56">
        <v>0</v>
      </c>
      <c r="G56">
        <v>0</v>
      </c>
      <c r="H56">
        <v>0</v>
      </c>
      <c r="I56" s="2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2">
        <f t="shared" si="6"/>
        <v>0</v>
      </c>
      <c r="W56"/>
      <c r="Y56" s="3"/>
      <c r="AI56" s="5" t="s">
        <v>12</v>
      </c>
      <c r="AJ56" t="s">
        <v>94</v>
      </c>
      <c r="AN56" s="3"/>
    </row>
    <row r="57" spans="1:40">
      <c r="A57">
        <v>52</v>
      </c>
      <c r="B57" t="s">
        <v>77</v>
      </c>
      <c r="C57">
        <v>88995</v>
      </c>
      <c r="D57">
        <v>264</v>
      </c>
      <c r="F57">
        <v>0.5</v>
      </c>
      <c r="G57">
        <v>0.4</v>
      </c>
      <c r="H57">
        <v>0.4</v>
      </c>
      <c r="I57" s="2">
        <f>SUM(F57:H57)</f>
        <v>1.3</v>
      </c>
      <c r="K57" s="4">
        <v>1</v>
      </c>
      <c r="L57" s="4">
        <v>2</v>
      </c>
      <c r="M57" s="4">
        <v>2</v>
      </c>
      <c r="N57" s="4">
        <v>2</v>
      </c>
      <c r="O57" s="4">
        <v>2</v>
      </c>
      <c r="P57" s="2">
        <f t="shared" si="6"/>
        <v>9</v>
      </c>
      <c r="Q57" s="8" t="s">
        <v>81</v>
      </c>
      <c r="R57">
        <v>2.5</v>
      </c>
      <c r="S57">
        <v>1</v>
      </c>
      <c r="T57">
        <v>1.5</v>
      </c>
      <c r="U57">
        <v>1.5</v>
      </c>
      <c r="V57">
        <v>1</v>
      </c>
      <c r="W57" s="2">
        <f>SUM(R57:V57)</f>
        <v>7.5</v>
      </c>
      <c r="X57" t="s">
        <v>80</v>
      </c>
      <c r="Y57" s="3">
        <f>I57*2/1.5+P57*4/10+W57*4/10</f>
        <v>8.3333333333333339</v>
      </c>
      <c r="AI57" s="5">
        <v>8.3333333333333304</v>
      </c>
      <c r="AJ57" t="s">
        <v>36</v>
      </c>
      <c r="AN57" s="3"/>
    </row>
    <row r="59" spans="1:40">
      <c r="K59" s="1" t="s">
        <v>84</v>
      </c>
    </row>
    <row r="60" spans="1:40">
      <c r="K60" s="1" t="s">
        <v>83</v>
      </c>
    </row>
    <row r="61" spans="1:40">
      <c r="K61" s="4">
        <v>0.2</v>
      </c>
      <c r="L61" s="4">
        <v>2</v>
      </c>
      <c r="M61" s="4">
        <v>0</v>
      </c>
      <c r="N61" s="4">
        <v>0</v>
      </c>
      <c r="O61" s="4">
        <v>2</v>
      </c>
      <c r="P61" s="2">
        <f t="shared" ref="P61" si="10">SUM(K61:O61)</f>
        <v>4.2</v>
      </c>
    </row>
  </sheetData>
  <pageMargins left="0" right="0" top="0.39444444444444399" bottom="0.39444444444444399" header="0" footer="0"/>
  <pageSetup paperSize="9" firstPageNumber="0" orientation="portrait" horizontalDpi="0" verticalDpi="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C56"/>
  <sheetViews>
    <sheetView tabSelected="1" zoomScaleNormal="100" workbookViewId="0">
      <selection activeCell="B2" sqref="B2"/>
    </sheetView>
  </sheetViews>
  <sheetFormatPr defaultRowHeight="13.8"/>
  <cols>
    <col min="1" max="1" width="35.5" bestFit="1" customWidth="1"/>
    <col min="2" max="2" width="9.3984375" style="2" bestFit="1" customWidth="1"/>
    <col min="3" max="3" width="8.19921875" style="2"/>
    <col min="4" max="4" width="7.3984375" style="3" bestFit="1" customWidth="1"/>
    <col min="5" max="5" width="2.8984375" style="6" customWidth="1"/>
    <col min="6" max="7" width="8.59765625" style="6"/>
    <col min="8" max="8" width="10.296875" customWidth="1"/>
    <col min="9" max="1018" width="8.59765625"/>
  </cols>
  <sheetData>
    <row r="1" spans="1:1017" s="2" customFormat="1">
      <c r="A1" s="2" t="s">
        <v>0</v>
      </c>
      <c r="B1" s="2" t="s">
        <v>98</v>
      </c>
      <c r="D1" s="3"/>
      <c r="E1" s="6"/>
      <c r="F1" s="6"/>
      <c r="G1" s="6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</row>
    <row r="2" spans="1:1017">
      <c r="B2"/>
    </row>
    <row r="3" spans="1:1017">
      <c r="A3" s="2" t="s">
        <v>9</v>
      </c>
      <c r="B3" s="2" t="s">
        <v>95</v>
      </c>
      <c r="F3" s="6" t="s">
        <v>23</v>
      </c>
      <c r="G3" s="6" t="s">
        <v>24</v>
      </c>
    </row>
    <row r="4" spans="1:1017">
      <c r="A4" s="2"/>
      <c r="B4" s="6" t="s">
        <v>96</v>
      </c>
      <c r="C4" s="2" t="s">
        <v>97</v>
      </c>
      <c r="D4" s="3" t="s">
        <v>78</v>
      </c>
      <c r="F4" s="7"/>
    </row>
    <row r="5" spans="1:1017">
      <c r="A5" t="s">
        <v>25</v>
      </c>
      <c r="B5" s="7">
        <v>8.8666666666666671</v>
      </c>
      <c r="C5" s="7">
        <v>8.8666666666666671</v>
      </c>
      <c r="D5" s="7">
        <v>8.8666666666666671</v>
      </c>
      <c r="F5" s="7"/>
      <c r="G5" s="7">
        <v>8.9</v>
      </c>
      <c r="H5" t="s">
        <v>79</v>
      </c>
    </row>
    <row r="6" spans="1:1017">
      <c r="A6" t="s">
        <v>26</v>
      </c>
      <c r="B6" s="7">
        <v>9.0533333333333346</v>
      </c>
      <c r="C6" s="7">
        <v>9.0533333333333346</v>
      </c>
      <c r="D6" s="7">
        <v>9.0533333333333346</v>
      </c>
      <c r="F6" s="7"/>
      <c r="G6" s="7">
        <v>9.1</v>
      </c>
      <c r="H6" t="s">
        <v>79</v>
      </c>
    </row>
    <row r="7" spans="1:1017">
      <c r="A7" t="s">
        <v>27</v>
      </c>
      <c r="B7" s="7">
        <v>1</v>
      </c>
      <c r="C7" s="7">
        <v>1</v>
      </c>
      <c r="D7" s="7">
        <v>1</v>
      </c>
      <c r="F7" s="7"/>
      <c r="G7" s="7">
        <v>1</v>
      </c>
      <c r="H7" t="s">
        <v>88</v>
      </c>
    </row>
    <row r="8" spans="1:1017">
      <c r="A8" t="s">
        <v>28</v>
      </c>
      <c r="B8" s="7">
        <v>9.0266666666666673</v>
      </c>
      <c r="C8" s="7">
        <v>9.0266666666666673</v>
      </c>
      <c r="D8" s="7">
        <v>9.0266666666666673</v>
      </c>
      <c r="F8" s="7"/>
      <c r="G8" s="7">
        <v>9</v>
      </c>
      <c r="H8" t="s">
        <v>79</v>
      </c>
    </row>
    <row r="9" spans="1:1017">
      <c r="A9" t="s">
        <v>29</v>
      </c>
      <c r="B9" s="7">
        <v>5.3066666666666666</v>
      </c>
      <c r="C9" s="7">
        <v>5.3066666666666666</v>
      </c>
      <c r="D9" s="7">
        <v>5.3066666666666666</v>
      </c>
      <c r="F9" s="6">
        <v>6.8</v>
      </c>
      <c r="G9" s="7">
        <v>5.9039999999999999</v>
      </c>
      <c r="H9" t="s">
        <v>79</v>
      </c>
    </row>
    <row r="10" spans="1:1017">
      <c r="A10" t="s">
        <v>30</v>
      </c>
      <c r="B10" s="7">
        <v>4.8000000000000007</v>
      </c>
      <c r="C10" s="7">
        <v>4.8000000000000007</v>
      </c>
      <c r="D10" s="7">
        <v>4.8000000000000007</v>
      </c>
      <c r="F10" s="6">
        <v>7.3</v>
      </c>
      <c r="G10" s="7">
        <v>5.8</v>
      </c>
      <c r="H10" t="s">
        <v>79</v>
      </c>
    </row>
    <row r="11" spans="1:1017">
      <c r="A11" t="s">
        <v>31</v>
      </c>
      <c r="B11" s="7">
        <v>5.6533333333333333</v>
      </c>
      <c r="C11" s="7">
        <v>5.6533333333333333</v>
      </c>
      <c r="D11" s="7">
        <v>5.6533333333333333</v>
      </c>
      <c r="F11" s="7">
        <v>5.2</v>
      </c>
      <c r="G11" s="7">
        <v>5.4719999999999995</v>
      </c>
      <c r="H11" t="s">
        <v>79</v>
      </c>
    </row>
    <row r="12" spans="1:1017">
      <c r="A12" t="s">
        <v>32</v>
      </c>
      <c r="B12" s="7">
        <v>4.3866666666666667</v>
      </c>
      <c r="C12" s="7">
        <v>4.3866666666666667</v>
      </c>
      <c r="D12" s="7">
        <v>4.3866666666666667</v>
      </c>
      <c r="F12" s="6">
        <v>6</v>
      </c>
      <c r="G12" s="7">
        <v>5.032</v>
      </c>
      <c r="H12" t="s">
        <v>79</v>
      </c>
    </row>
    <row r="13" spans="1:1017">
      <c r="A13" t="s">
        <v>33</v>
      </c>
      <c r="B13" s="7">
        <v>5.4666666666666668</v>
      </c>
      <c r="C13" s="7">
        <v>5.4666666666666668</v>
      </c>
      <c r="D13" s="7">
        <v>5.4666666666666668</v>
      </c>
      <c r="F13" s="7">
        <v>6.4</v>
      </c>
      <c r="G13" s="7">
        <v>5.84</v>
      </c>
      <c r="H13" t="s">
        <v>79</v>
      </c>
    </row>
    <row r="14" spans="1:1017">
      <c r="A14" t="s">
        <v>34</v>
      </c>
      <c r="B14" s="7">
        <v>8.4666666666666668</v>
      </c>
      <c r="C14" s="7">
        <v>8.4666666666666668</v>
      </c>
      <c r="D14" s="7">
        <v>8.4666666666666668</v>
      </c>
      <c r="F14" s="7"/>
      <c r="G14" s="7">
        <v>8.5</v>
      </c>
      <c r="H14" t="s">
        <v>79</v>
      </c>
    </row>
    <row r="15" spans="1:1017">
      <c r="A15" t="s">
        <v>35</v>
      </c>
      <c r="B15" s="7">
        <v>5.68</v>
      </c>
      <c r="C15" s="7">
        <v>5.68</v>
      </c>
      <c r="D15" s="7">
        <v>5.68</v>
      </c>
      <c r="F15" s="6">
        <v>7.3</v>
      </c>
      <c r="G15" s="7">
        <v>6.3280000000000003</v>
      </c>
      <c r="H15" t="s">
        <v>36</v>
      </c>
    </row>
    <row r="16" spans="1:1017">
      <c r="A16" t="s">
        <v>37</v>
      </c>
      <c r="B16" s="7">
        <v>2.8000000000000003</v>
      </c>
      <c r="C16" s="7">
        <v>2.8000000000000003</v>
      </c>
      <c r="D16" s="7">
        <v>2.8000000000000003</v>
      </c>
      <c r="F16" s="6">
        <v>0</v>
      </c>
      <c r="G16" s="7">
        <v>1.6800000000000002</v>
      </c>
      <c r="H16" t="s">
        <v>94</v>
      </c>
    </row>
    <row r="17" spans="1:8">
      <c r="A17" t="s">
        <v>38</v>
      </c>
      <c r="B17" s="7">
        <v>3.5466666666666669</v>
      </c>
      <c r="C17" s="7">
        <v>3.5466666666666669</v>
      </c>
      <c r="D17" s="7">
        <v>3.5466666666666669</v>
      </c>
      <c r="F17" s="6">
        <v>3.8</v>
      </c>
      <c r="G17" s="7">
        <v>3.6480000000000006</v>
      </c>
      <c r="H17" t="s">
        <v>94</v>
      </c>
    </row>
    <row r="18" spans="1:8">
      <c r="A18" t="s">
        <v>39</v>
      </c>
      <c r="B18" s="7">
        <v>8.4666666666666668</v>
      </c>
      <c r="C18" s="7">
        <v>8.4666666666666668</v>
      </c>
      <c r="D18" s="7">
        <v>8.4666666666666668</v>
      </c>
      <c r="F18" s="7"/>
      <c r="G18" s="7">
        <v>8.5</v>
      </c>
      <c r="H18" t="s">
        <v>79</v>
      </c>
    </row>
    <row r="19" spans="1:8">
      <c r="A19" t="s">
        <v>40</v>
      </c>
      <c r="B19" s="7">
        <v>8.6666666666666661</v>
      </c>
      <c r="C19" s="7">
        <v>8.6666666666666661</v>
      </c>
      <c r="D19" s="7">
        <v>8.6666666666666661</v>
      </c>
      <c r="G19" s="7">
        <v>8.6999999999999993</v>
      </c>
      <c r="H19" t="s">
        <v>79</v>
      </c>
    </row>
    <row r="20" spans="1:8">
      <c r="A20" t="s">
        <v>41</v>
      </c>
      <c r="B20" s="7">
        <v>9.2666666666666657</v>
      </c>
      <c r="C20" s="7">
        <v>9.2666666666666657</v>
      </c>
      <c r="D20" s="7">
        <v>9.2666666666666657</v>
      </c>
      <c r="F20" s="7"/>
      <c r="G20" s="7">
        <v>9.3000000000000007</v>
      </c>
      <c r="H20" t="s">
        <v>79</v>
      </c>
    </row>
    <row r="21" spans="1:8">
      <c r="A21" t="s">
        <v>42</v>
      </c>
      <c r="B21" s="7">
        <v>9.6000000000000014</v>
      </c>
      <c r="C21" s="7">
        <v>9.6000000000000014</v>
      </c>
      <c r="D21" s="7">
        <v>9.6000000000000014</v>
      </c>
      <c r="F21" s="7"/>
      <c r="G21" s="7">
        <v>9.6</v>
      </c>
      <c r="H21" t="s">
        <v>79</v>
      </c>
    </row>
    <row r="22" spans="1:8">
      <c r="A22" t="s">
        <v>43</v>
      </c>
      <c r="B22" s="7">
        <v>9.0666666666666664</v>
      </c>
      <c r="C22" s="7">
        <v>9.0666666666666664</v>
      </c>
      <c r="D22" s="7">
        <v>9.0666666666666664</v>
      </c>
      <c r="F22" s="7"/>
      <c r="G22" s="7">
        <v>9.1</v>
      </c>
      <c r="H22" t="s">
        <v>79</v>
      </c>
    </row>
    <row r="23" spans="1:8">
      <c r="A23" t="s">
        <v>44</v>
      </c>
      <c r="B23" s="7">
        <v>9.3866666666666667</v>
      </c>
      <c r="C23" s="7">
        <v>9.3866666666666667</v>
      </c>
      <c r="D23" s="7">
        <v>9.3866666666666667</v>
      </c>
      <c r="G23" s="7">
        <v>9.4</v>
      </c>
      <c r="H23" t="s">
        <v>79</v>
      </c>
    </row>
    <row r="24" spans="1:8">
      <c r="A24" t="s">
        <v>45</v>
      </c>
      <c r="B24" s="7">
        <v>0</v>
      </c>
      <c r="C24" s="7">
        <v>0</v>
      </c>
      <c r="D24" s="7">
        <v>0</v>
      </c>
      <c r="G24" s="7" t="s">
        <v>12</v>
      </c>
      <c r="H24" t="s">
        <v>94</v>
      </c>
    </row>
    <row r="25" spans="1:8">
      <c r="A25" t="s">
        <v>46</v>
      </c>
      <c r="B25" s="7">
        <v>0</v>
      </c>
      <c r="C25" s="7">
        <v>0</v>
      </c>
      <c r="D25" s="7">
        <v>0</v>
      </c>
      <c r="F25" s="7"/>
      <c r="G25" s="7" t="s">
        <v>12</v>
      </c>
      <c r="H25" t="s">
        <v>94</v>
      </c>
    </row>
    <row r="26" spans="1:8">
      <c r="A26" t="s">
        <v>47</v>
      </c>
      <c r="B26" s="7">
        <v>2.8933333333333335</v>
      </c>
      <c r="C26" s="7">
        <v>2.8933333333333335</v>
      </c>
      <c r="D26" s="7">
        <v>2.8933333333333335</v>
      </c>
      <c r="F26" s="7"/>
      <c r="G26" s="7">
        <v>2.89333333333333</v>
      </c>
      <c r="H26" t="s">
        <v>94</v>
      </c>
    </row>
    <row r="27" spans="1:8">
      <c r="A27" t="s">
        <v>48</v>
      </c>
      <c r="B27" s="7">
        <v>5.706666666666667</v>
      </c>
      <c r="C27" s="7">
        <v>5.706666666666667</v>
      </c>
      <c r="D27" s="7">
        <v>5.706666666666667</v>
      </c>
      <c r="F27" s="7">
        <v>6.5</v>
      </c>
      <c r="G27" s="7">
        <v>6.024</v>
      </c>
      <c r="H27" t="s">
        <v>36</v>
      </c>
    </row>
    <row r="28" spans="1:8">
      <c r="A28" t="s">
        <v>49</v>
      </c>
      <c r="B28" s="7">
        <v>8.9866666666666664</v>
      </c>
      <c r="C28" s="7">
        <v>8.9866666666666664</v>
      </c>
      <c r="D28" s="7">
        <v>8.9866666666666664</v>
      </c>
      <c r="G28" s="7">
        <v>9</v>
      </c>
      <c r="H28" t="s">
        <v>36</v>
      </c>
    </row>
    <row r="29" spans="1:8">
      <c r="A29" t="s">
        <v>50</v>
      </c>
      <c r="B29" s="7">
        <v>8.6</v>
      </c>
      <c r="C29" s="7">
        <v>8.6</v>
      </c>
      <c r="D29" s="7">
        <v>8.6</v>
      </c>
      <c r="G29" s="7">
        <v>8.6</v>
      </c>
      <c r="H29" t="s">
        <v>36</v>
      </c>
    </row>
    <row r="30" spans="1:8">
      <c r="A30" t="s">
        <v>51</v>
      </c>
      <c r="B30" s="7">
        <v>2.2799999999999998</v>
      </c>
      <c r="C30" s="7">
        <v>2.2799999999999998</v>
      </c>
      <c r="D30" s="7">
        <v>2.2799999999999998</v>
      </c>
      <c r="F30" s="7"/>
      <c r="G30" s="7">
        <v>2.2999999999999998</v>
      </c>
      <c r="H30" t="s">
        <v>94</v>
      </c>
    </row>
    <row r="31" spans="1:8">
      <c r="A31" t="s">
        <v>52</v>
      </c>
      <c r="B31" s="7">
        <v>5.52</v>
      </c>
      <c r="C31" s="7">
        <v>5.52</v>
      </c>
      <c r="D31" s="7">
        <v>5.52</v>
      </c>
      <c r="F31" s="6">
        <v>10</v>
      </c>
      <c r="G31" s="7">
        <v>7.3120000000000003</v>
      </c>
      <c r="H31" t="s">
        <v>36</v>
      </c>
    </row>
    <row r="32" spans="1:8">
      <c r="A32" t="s">
        <v>53</v>
      </c>
      <c r="B32" s="7">
        <v>8.6</v>
      </c>
      <c r="C32" s="7">
        <v>8.6</v>
      </c>
      <c r="D32" s="7">
        <v>8.6</v>
      </c>
      <c r="G32" s="7">
        <v>8.6</v>
      </c>
      <c r="H32" t="s">
        <v>36</v>
      </c>
    </row>
    <row r="33" spans="1:8">
      <c r="A33" t="s">
        <v>54</v>
      </c>
      <c r="B33" s="7">
        <v>5.2200000000000006</v>
      </c>
      <c r="C33" s="7">
        <v>5.2200000000000006</v>
      </c>
      <c r="D33" s="7">
        <v>5.2200000000000006</v>
      </c>
      <c r="F33" s="7">
        <v>4.7</v>
      </c>
      <c r="G33" s="7">
        <v>5.0120000000000005</v>
      </c>
      <c r="H33" t="s">
        <v>36</v>
      </c>
    </row>
    <row r="34" spans="1:8">
      <c r="A34" t="s">
        <v>55</v>
      </c>
      <c r="B34" s="7">
        <v>7.3866666666666667</v>
      </c>
      <c r="C34" s="7">
        <v>7.3866666666666667</v>
      </c>
      <c r="D34" s="7">
        <v>7.3866666666666667</v>
      </c>
      <c r="G34" s="7">
        <v>7.4</v>
      </c>
      <c r="H34" t="s">
        <v>36</v>
      </c>
    </row>
    <row r="35" spans="1:8">
      <c r="A35" t="s">
        <v>56</v>
      </c>
      <c r="B35" s="7">
        <v>0</v>
      </c>
      <c r="C35" s="7">
        <v>0</v>
      </c>
      <c r="D35" s="7">
        <v>0</v>
      </c>
      <c r="F35" s="7"/>
      <c r="G35" s="7" t="s">
        <v>12</v>
      </c>
      <c r="H35" t="s">
        <v>94</v>
      </c>
    </row>
    <row r="36" spans="1:8">
      <c r="A36" t="s">
        <v>57</v>
      </c>
      <c r="B36" s="7">
        <v>8.0333333333333332</v>
      </c>
      <c r="C36" s="7">
        <v>8.0333333333333332</v>
      </c>
      <c r="D36" s="7">
        <v>8.0333333333333332</v>
      </c>
      <c r="F36" s="7"/>
      <c r="G36" s="7">
        <v>8</v>
      </c>
      <c r="H36" t="s">
        <v>36</v>
      </c>
    </row>
    <row r="37" spans="1:8">
      <c r="A37" t="s">
        <v>58</v>
      </c>
      <c r="B37" s="7">
        <v>6.9866666666666672</v>
      </c>
      <c r="C37" s="7">
        <v>6.9866666666666672</v>
      </c>
      <c r="D37" s="7">
        <v>6.9866666666666672</v>
      </c>
      <c r="G37" s="7">
        <v>7</v>
      </c>
      <c r="H37" t="s">
        <v>36</v>
      </c>
    </row>
    <row r="38" spans="1:8">
      <c r="A38" t="s">
        <v>59</v>
      </c>
      <c r="B38" s="7">
        <v>2</v>
      </c>
      <c r="C38" s="7">
        <v>2</v>
      </c>
      <c r="D38" s="7">
        <v>2</v>
      </c>
      <c r="G38" s="7" t="s">
        <v>12</v>
      </c>
      <c r="H38" t="s">
        <v>94</v>
      </c>
    </row>
    <row r="39" spans="1:8">
      <c r="A39" t="s">
        <v>60</v>
      </c>
      <c r="B39" s="7">
        <v>4.4800000000000004</v>
      </c>
      <c r="C39" s="7">
        <v>4.4800000000000004</v>
      </c>
      <c r="D39" s="7">
        <v>4.4800000000000004</v>
      </c>
      <c r="F39" s="6">
        <v>5.8</v>
      </c>
      <c r="G39" s="7">
        <v>5.008</v>
      </c>
      <c r="H39" t="s">
        <v>36</v>
      </c>
    </row>
    <row r="40" spans="1:8">
      <c r="A40" t="s">
        <v>61</v>
      </c>
      <c r="B40" s="7">
        <v>0</v>
      </c>
      <c r="C40" s="7">
        <v>0</v>
      </c>
      <c r="D40" s="7">
        <v>0</v>
      </c>
      <c r="G40" s="7" t="s">
        <v>12</v>
      </c>
      <c r="H40" t="s">
        <v>94</v>
      </c>
    </row>
    <row r="41" spans="1:8">
      <c r="A41" t="s">
        <v>62</v>
      </c>
      <c r="B41" s="7">
        <v>0</v>
      </c>
      <c r="C41" s="7">
        <v>0</v>
      </c>
      <c r="D41" s="7">
        <v>0</v>
      </c>
      <c r="F41" s="7"/>
      <c r="G41" s="7" t="s">
        <v>12</v>
      </c>
      <c r="H41" t="s">
        <v>94</v>
      </c>
    </row>
    <row r="42" spans="1:8">
      <c r="A42" t="s">
        <v>63</v>
      </c>
      <c r="B42" s="7">
        <v>7.4</v>
      </c>
      <c r="C42" s="7">
        <v>7.4</v>
      </c>
      <c r="D42" s="7">
        <v>7.4</v>
      </c>
      <c r="F42" s="7"/>
      <c r="G42" s="7">
        <v>7.4</v>
      </c>
      <c r="H42" t="s">
        <v>36</v>
      </c>
    </row>
    <row r="43" spans="1:8">
      <c r="A43" t="s">
        <v>64</v>
      </c>
      <c r="B43" s="7">
        <v>6.5333333333333332</v>
      </c>
      <c r="C43" s="7">
        <v>6.5333333333333332</v>
      </c>
      <c r="D43" s="7">
        <v>6.5333333333333332</v>
      </c>
      <c r="F43" s="7">
        <v>6</v>
      </c>
      <c r="G43" s="7">
        <v>6.32</v>
      </c>
      <c r="H43" t="s">
        <v>36</v>
      </c>
    </row>
    <row r="44" spans="1:8">
      <c r="A44" t="s">
        <v>65</v>
      </c>
      <c r="B44" s="7">
        <v>5.586666666666666</v>
      </c>
      <c r="C44" s="7">
        <v>5.586666666666666</v>
      </c>
      <c r="D44" s="7">
        <v>5.586666666666666</v>
      </c>
      <c r="F44" s="6">
        <v>7.7</v>
      </c>
      <c r="G44" s="7">
        <v>6.4319999999999995</v>
      </c>
      <c r="H44" t="s">
        <v>36</v>
      </c>
    </row>
    <row r="45" spans="1:8">
      <c r="A45" t="s">
        <v>66</v>
      </c>
      <c r="B45" s="7">
        <v>4.9866666666666664</v>
      </c>
      <c r="C45" s="7">
        <v>4.9866666666666664</v>
      </c>
      <c r="D45" s="7">
        <v>4.9866666666666664</v>
      </c>
      <c r="F45" s="6">
        <v>5.0999999999999996</v>
      </c>
      <c r="G45" s="7">
        <v>5.0319999999999991</v>
      </c>
      <c r="H45" t="s">
        <v>36</v>
      </c>
    </row>
    <row r="46" spans="1:8">
      <c r="A46" t="s">
        <v>67</v>
      </c>
      <c r="B46" s="7">
        <v>2.8</v>
      </c>
      <c r="C46" s="7">
        <v>2.8</v>
      </c>
      <c r="D46" s="7">
        <v>2.8</v>
      </c>
      <c r="G46" s="7" t="s">
        <v>12</v>
      </c>
      <c r="H46" t="s">
        <v>94</v>
      </c>
    </row>
    <row r="47" spans="1:8">
      <c r="A47" t="s">
        <v>68</v>
      </c>
      <c r="B47" s="7">
        <v>5.6666666666666661</v>
      </c>
      <c r="C47" s="7">
        <v>5.6666666666666661</v>
      </c>
      <c r="D47" s="7">
        <v>5.6666666666666661</v>
      </c>
      <c r="F47" s="6">
        <v>2.4</v>
      </c>
      <c r="G47" s="7">
        <v>4.3600000000000003</v>
      </c>
      <c r="H47" t="s">
        <v>94</v>
      </c>
    </row>
    <row r="48" spans="1:8">
      <c r="A48" t="s">
        <v>69</v>
      </c>
      <c r="B48" s="7">
        <v>5.1466666666666665</v>
      </c>
      <c r="C48" s="7">
        <v>5.1466666666666665</v>
      </c>
      <c r="D48" s="7">
        <v>5.1466666666666665</v>
      </c>
      <c r="F48" s="6">
        <v>6.8</v>
      </c>
      <c r="G48" s="7">
        <v>5.8079999999999998</v>
      </c>
      <c r="H48" t="s">
        <v>36</v>
      </c>
    </row>
    <row r="49" spans="1:8">
      <c r="A49" t="s">
        <v>70</v>
      </c>
      <c r="B49" s="7">
        <v>8</v>
      </c>
      <c r="C49" s="7">
        <v>8</v>
      </c>
      <c r="D49" s="7">
        <v>8</v>
      </c>
      <c r="G49" s="7">
        <v>8</v>
      </c>
      <c r="H49" t="s">
        <v>36</v>
      </c>
    </row>
    <row r="50" spans="1:8">
      <c r="A50" t="s">
        <v>71</v>
      </c>
      <c r="B50" s="7">
        <v>1.9333333333333336</v>
      </c>
      <c r="C50" s="7">
        <v>1.9333333333333336</v>
      </c>
      <c r="D50" s="7">
        <v>1.9333333333333336</v>
      </c>
      <c r="F50" s="7">
        <v>3.4</v>
      </c>
      <c r="G50" s="7">
        <v>2.5200000000000005</v>
      </c>
      <c r="H50" t="s">
        <v>94</v>
      </c>
    </row>
    <row r="51" spans="1:8">
      <c r="A51" t="s">
        <v>72</v>
      </c>
      <c r="B51" s="7">
        <v>8.120000000000001</v>
      </c>
      <c r="C51" s="7">
        <v>8.120000000000001</v>
      </c>
      <c r="D51" s="7">
        <v>8.120000000000001</v>
      </c>
      <c r="G51" s="7">
        <v>8.1</v>
      </c>
      <c r="H51" t="s">
        <v>36</v>
      </c>
    </row>
    <row r="52" spans="1:8">
      <c r="A52" t="s">
        <v>73</v>
      </c>
      <c r="B52" s="7">
        <v>7.2</v>
      </c>
      <c r="C52" s="7">
        <v>7.2</v>
      </c>
      <c r="D52" s="7">
        <v>7.2</v>
      </c>
      <c r="G52" s="7">
        <v>7.2</v>
      </c>
      <c r="H52" t="s">
        <v>36</v>
      </c>
    </row>
    <row r="53" spans="1:8">
      <c r="A53" t="s">
        <v>74</v>
      </c>
      <c r="B53" s="7">
        <v>5.4666666666666668</v>
      </c>
      <c r="C53" s="7">
        <v>5.4666666666666668</v>
      </c>
      <c r="D53" s="7">
        <v>5.4666666666666668</v>
      </c>
      <c r="F53" s="6">
        <v>6.9</v>
      </c>
      <c r="G53" s="7">
        <v>6.04</v>
      </c>
      <c r="H53" t="s">
        <v>36</v>
      </c>
    </row>
    <row r="54" spans="1:8">
      <c r="A54" t="s">
        <v>75</v>
      </c>
      <c r="B54" s="7">
        <v>0</v>
      </c>
      <c r="C54" s="7">
        <v>0</v>
      </c>
      <c r="D54" s="7">
        <v>0</v>
      </c>
      <c r="G54" s="7" t="s">
        <v>12</v>
      </c>
      <c r="H54" t="s">
        <v>94</v>
      </c>
    </row>
    <row r="55" spans="1:8">
      <c r="A55" t="s">
        <v>76</v>
      </c>
      <c r="B55" s="7">
        <v>0</v>
      </c>
      <c r="C55" s="7">
        <v>0</v>
      </c>
      <c r="D55" s="7">
        <v>0</v>
      </c>
      <c r="F55" s="7"/>
      <c r="G55" s="7" t="s">
        <v>12</v>
      </c>
      <c r="H55" t="s">
        <v>94</v>
      </c>
    </row>
    <row r="56" spans="1:8">
      <c r="A56" t="s">
        <v>77</v>
      </c>
      <c r="B56" s="3">
        <v>8.3333333333333339</v>
      </c>
      <c r="C56" s="3">
        <v>8.3333333333333339</v>
      </c>
      <c r="D56" s="3">
        <v>8.3333333333333339</v>
      </c>
      <c r="F56" s="7"/>
      <c r="G56" s="7">
        <v>8.3333333333333304</v>
      </c>
      <c r="H56" t="s">
        <v>36</v>
      </c>
    </row>
  </sheetData>
  <printOptions gridLines="1"/>
  <pageMargins left="0" right="0" top="0.39444444444444399" bottom="0.39444444444444399" header="0" footer="0"/>
  <pageSetup paperSize="9" firstPageNumber="0" orientation="portrait" horizontalDpi="0" verticalDpi="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</vt:lpstr>
      <vt:lpstr>Impressão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</dc:creator>
  <dc:description/>
  <cp:lastModifiedBy>Mauricio</cp:lastModifiedBy>
  <cp:revision>14</cp:revision>
  <cp:lastPrinted>2017-03-06T20:47:47Z</cp:lastPrinted>
  <dcterms:created xsi:type="dcterms:W3CDTF">2008-12-23T10:51:36Z</dcterms:created>
  <dcterms:modified xsi:type="dcterms:W3CDTF">2017-03-06T20:48:40Z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nfo 1">
    <vt:lpwstr/>
  </property>
  <property fmtid="{D5CDD505-2E9C-101B-9397-08002B2CF9AE}" pid="6" name="Info 2">
    <vt:lpwstr/>
  </property>
  <property fmtid="{D5CDD505-2E9C-101B-9397-08002B2CF9AE}" pid="7" name="Info 3">
    <vt:lpwstr/>
  </property>
  <property fmtid="{D5CDD505-2E9C-101B-9397-08002B2CF9AE}" pid="8" name="Info 4">
    <vt:lpwstr/>
  </property>
  <property fmtid="{D5CDD505-2E9C-101B-9397-08002B2CF9AE}" pid="9" name="LinksUpToDate">
    <vt:bool>false</vt:bool>
  </property>
  <property fmtid="{D5CDD505-2E9C-101B-9397-08002B2CF9AE}" pid="10" name="ScaleCrop">
    <vt:bool>false</vt:bool>
  </property>
  <property fmtid="{D5CDD505-2E9C-101B-9397-08002B2CF9AE}" pid="11" name="ShareDoc">
    <vt:bool>false</vt:bool>
  </property>
</Properties>
</file>