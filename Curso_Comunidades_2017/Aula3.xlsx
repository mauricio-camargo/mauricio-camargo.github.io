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ropbox\000Comunidades-Oceano2017\Aula3\"/>
    </mc:Choice>
  </mc:AlternateContent>
  <bookViews>
    <workbookView xWindow="6552" yWindow="0" windowWidth="16380" windowHeight="8196" tabRatio="992"/>
  </bookViews>
  <sheets>
    <sheet name="Plan1" sheetId="5" r:id="rId1"/>
    <sheet name="Riq.Margalef" sheetId="6" r:id="rId2"/>
    <sheet name="Simpson" sheetId="7" r:id="rId3"/>
    <sheet name="Shannon" sheetId="8" r:id="rId4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9" i="8" l="1"/>
  <c r="F8" i="8"/>
  <c r="F7" i="8"/>
  <c r="E7" i="8"/>
  <c r="E9" i="8" s="1"/>
  <c r="D7" i="8"/>
  <c r="D8" i="8" s="1"/>
  <c r="B7" i="8"/>
  <c r="B9" i="8" s="1"/>
  <c r="F3" i="8"/>
  <c r="F5" i="8" s="1"/>
  <c r="B3" i="8"/>
  <c r="B4" i="8" s="1"/>
  <c r="H6" i="8"/>
  <c r="C7" i="8" s="1"/>
  <c r="G6" i="8"/>
  <c r="H2" i="8"/>
  <c r="E3" i="8" s="1"/>
  <c r="E5" i="8" s="1"/>
  <c r="G2" i="8"/>
  <c r="F7" i="7"/>
  <c r="D3" i="7"/>
  <c r="D4" i="7" s="1"/>
  <c r="D6" i="7"/>
  <c r="D7" i="7" s="1"/>
  <c r="C6" i="7"/>
  <c r="C7" i="7" s="1"/>
  <c r="H5" i="7"/>
  <c r="F6" i="7" s="1"/>
  <c r="G5" i="7"/>
  <c r="H2" i="7"/>
  <c r="C3" i="7" s="1"/>
  <c r="C4" i="7" s="1"/>
  <c r="G2" i="7"/>
  <c r="G7" i="6"/>
  <c r="I7" i="6" s="1"/>
  <c r="G6" i="6"/>
  <c r="G5" i="6"/>
  <c r="G4" i="6"/>
  <c r="I4" i="6" s="1"/>
  <c r="G3" i="6"/>
  <c r="I3" i="6" s="1"/>
  <c r="G2" i="6"/>
  <c r="H7" i="6"/>
  <c r="H6" i="6"/>
  <c r="I6" i="6" s="1"/>
  <c r="H5" i="6"/>
  <c r="I5" i="6" s="1"/>
  <c r="H4" i="6"/>
  <c r="H3" i="6"/>
  <c r="H2" i="6"/>
  <c r="I2" i="6" s="1"/>
  <c r="B5" i="8" l="1"/>
  <c r="C3" i="8"/>
  <c r="D3" i="8"/>
  <c r="E3" i="7"/>
  <c r="E4" i="7" s="1"/>
  <c r="B3" i="7"/>
  <c r="B4" i="7" s="1"/>
  <c r="F3" i="7"/>
  <c r="F4" i="7" s="1"/>
  <c r="C9" i="8"/>
  <c r="I9" i="8" s="1"/>
  <c r="D9" i="8"/>
  <c r="E6" i="7"/>
  <c r="E7" i="7" s="1"/>
  <c r="B6" i="7"/>
  <c r="B7" i="7" s="1"/>
  <c r="I7" i="7" s="1"/>
  <c r="J7" i="7" s="1"/>
  <c r="D4" i="8" l="1"/>
  <c r="D5" i="8"/>
  <c r="C4" i="8"/>
  <c r="C5" i="8"/>
  <c r="I5" i="8" s="1"/>
  <c r="I4" i="7"/>
  <c r="J4" i="7" s="1"/>
</calcChain>
</file>

<file path=xl/sharedStrings.xml><?xml version="1.0" encoding="utf-8"?>
<sst xmlns="http://schemas.openxmlformats.org/spreadsheetml/2006/main" count="67" uniqueCount="24">
  <si>
    <t>Amostra</t>
  </si>
  <si>
    <t>Local</t>
  </si>
  <si>
    <t>Sp1</t>
  </si>
  <si>
    <t>Sp2</t>
  </si>
  <si>
    <t>Sp3</t>
  </si>
  <si>
    <t>Sp5</t>
  </si>
  <si>
    <t>Sp4</t>
  </si>
  <si>
    <t>A</t>
  </si>
  <si>
    <t>Controle</t>
  </si>
  <si>
    <t>B</t>
  </si>
  <si>
    <t>C</t>
  </si>
  <si>
    <t>D</t>
  </si>
  <si>
    <t>Impacto</t>
  </si>
  <si>
    <t>E</t>
  </si>
  <si>
    <t>F</t>
  </si>
  <si>
    <t>S</t>
  </si>
  <si>
    <t>N</t>
  </si>
  <si>
    <t>DMg</t>
  </si>
  <si>
    <t>Pi</t>
  </si>
  <si>
    <t>Pi^2</t>
  </si>
  <si>
    <t>1-D</t>
  </si>
  <si>
    <t>Ln(Pi)</t>
  </si>
  <si>
    <t>Pi*Ln(Pi)</t>
  </si>
  <si>
    <t>H'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</si>
</sst>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0000"/>
  </numFmts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/>
    <xf numFmtId="0" fontId="0" fillId="0" borderId="0" xfId="0" applyAlignment="1">
      <alignment horizontal="right"/>
    </xf>
    <xf numFmtId="0" fontId="1" fillId="0" borderId="0" xfId="0" applyFont="1"/>
    <xf numFmtId="168" fontId="1" fillId="0" borderId="0" xfId="0" applyNumberFormat="1" applyFont="1"/>
    <xf numFmtId="0" fontId="0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76200</xdr:colOff>
      <xdr:row>8</xdr:row>
      <xdr:rowOff>22860</xdr:rowOff>
    </xdr:from>
    <xdr:to>
      <xdr:col>5</xdr:col>
      <xdr:colOff>116200</xdr:colOff>
      <xdr:row>11</xdr:row>
      <xdr:rowOff>101554</xdr:rowOff>
    </xdr:to>
    <xdr:pic>
      <xdr:nvPicPr>
        <xdr:cNvPr id="2" name="Figura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1295400" y="1485900"/>
          <a:ext cx="1868800" cy="627334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335280</xdr:colOff>
      <xdr:row>7</xdr:row>
      <xdr:rowOff>144780</xdr:rowOff>
    </xdr:from>
    <xdr:to>
      <xdr:col>5</xdr:col>
      <xdr:colOff>516027</xdr:colOff>
      <xdr:row>15</xdr:row>
      <xdr:rowOff>115327</xdr:rowOff>
    </xdr:to>
    <xdr:pic>
      <xdr:nvPicPr>
        <xdr:cNvPr id="2" name="Picture 2"/>
        <xdr:cNvPicPr/>
      </xdr:nvPicPr>
      <xdr:blipFill>
        <a:blip xmlns:r="http://schemas.openxmlformats.org/officeDocument/2006/relationships" r:embed="rId1"/>
        <a:stretch/>
      </xdr:blipFill>
      <xdr:spPr>
        <a:xfrm>
          <a:off x="2164080" y="1424940"/>
          <a:ext cx="1399947" cy="1433587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381000</xdr:colOff>
      <xdr:row>9</xdr:row>
      <xdr:rowOff>45720</xdr:rowOff>
    </xdr:from>
    <xdr:to>
      <xdr:col>4</xdr:col>
      <xdr:colOff>539787</xdr:colOff>
      <xdr:row>14</xdr:row>
      <xdr:rowOff>138200</xdr:rowOff>
    </xdr:to>
    <xdr:pic>
      <xdr:nvPicPr>
        <xdr:cNvPr id="2" name="Picture 3"/>
        <xdr:cNvPicPr/>
      </xdr:nvPicPr>
      <xdr:blipFill>
        <a:blip xmlns:r="http://schemas.openxmlformats.org/officeDocument/2006/relationships" r:embed="rId1"/>
        <a:stretch/>
      </xdr:blipFill>
      <xdr:spPr>
        <a:xfrm>
          <a:off x="1600200" y="1691640"/>
          <a:ext cx="1377987" cy="1006880"/>
        </a:xfrm>
        <a:prstGeom prst="rect">
          <a:avLst/>
        </a:prstGeom>
        <a:ln w="936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L5" sqref="L5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6</v>
      </c>
      <c r="G1" t="s">
        <v>5</v>
      </c>
    </row>
    <row r="2" spans="1:7" x14ac:dyDescent="0.3">
      <c r="A2" s="1" t="s">
        <v>7</v>
      </c>
      <c r="B2" s="1" t="s">
        <v>8</v>
      </c>
      <c r="C2" s="1">
        <v>2</v>
      </c>
      <c r="D2" s="1">
        <v>4</v>
      </c>
      <c r="E2">
        <v>12</v>
      </c>
      <c r="F2">
        <v>0</v>
      </c>
      <c r="G2">
        <v>0</v>
      </c>
    </row>
    <row r="3" spans="1:7" x14ac:dyDescent="0.3">
      <c r="A3" s="1" t="s">
        <v>9</v>
      </c>
      <c r="B3" s="1" t="s">
        <v>8</v>
      </c>
      <c r="C3" s="1">
        <v>0</v>
      </c>
      <c r="D3" s="1">
        <v>0</v>
      </c>
      <c r="E3">
        <v>8</v>
      </c>
      <c r="F3">
        <v>0</v>
      </c>
      <c r="G3">
        <v>3</v>
      </c>
    </row>
    <row r="4" spans="1:7" x14ac:dyDescent="0.3">
      <c r="A4" s="1" t="s">
        <v>10</v>
      </c>
      <c r="B4" s="1" t="s">
        <v>8</v>
      </c>
      <c r="C4" s="1">
        <v>7</v>
      </c>
      <c r="D4" s="1">
        <v>4</v>
      </c>
      <c r="E4">
        <v>7</v>
      </c>
      <c r="F4">
        <v>1</v>
      </c>
      <c r="G4">
        <v>0</v>
      </c>
    </row>
    <row r="5" spans="1:7" x14ac:dyDescent="0.3">
      <c r="A5" s="1" t="s">
        <v>11</v>
      </c>
      <c r="B5" s="1" t="s">
        <v>12</v>
      </c>
      <c r="C5" s="1">
        <v>3</v>
      </c>
      <c r="D5" s="1">
        <v>15</v>
      </c>
      <c r="E5">
        <v>0</v>
      </c>
      <c r="F5">
        <v>0</v>
      </c>
      <c r="G5">
        <v>4</v>
      </c>
    </row>
    <row r="6" spans="1:7" x14ac:dyDescent="0.3">
      <c r="A6" s="1" t="s">
        <v>13</v>
      </c>
      <c r="B6" s="1" t="s">
        <v>12</v>
      </c>
      <c r="C6" s="1">
        <v>6</v>
      </c>
      <c r="D6" s="1">
        <v>4</v>
      </c>
      <c r="E6">
        <v>1</v>
      </c>
      <c r="F6">
        <v>4</v>
      </c>
      <c r="G6">
        <v>0</v>
      </c>
    </row>
    <row r="7" spans="1:7" x14ac:dyDescent="0.3">
      <c r="A7" t="s">
        <v>14</v>
      </c>
      <c r="B7" s="1" t="s">
        <v>12</v>
      </c>
      <c r="C7">
        <v>8</v>
      </c>
      <c r="D7" s="2">
        <v>4</v>
      </c>
      <c r="E7">
        <v>0</v>
      </c>
      <c r="F7">
        <v>7</v>
      </c>
      <c r="G7">
        <v>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selection activeCell="B1" sqref="B1"/>
    </sheetView>
  </sheetViews>
  <sheetFormatPr defaultRowHeight="14.4" x14ac:dyDescent="0.3"/>
  <cols>
    <col min="9" max="9" width="8.88671875" style="3"/>
  </cols>
  <sheetData>
    <row r="1" spans="1:9" x14ac:dyDescent="0.3">
      <c r="A1" s="1" t="s">
        <v>0</v>
      </c>
      <c r="B1" s="1" t="s">
        <v>2</v>
      </c>
      <c r="C1" s="1" t="s">
        <v>3</v>
      </c>
      <c r="D1" t="s">
        <v>4</v>
      </c>
      <c r="E1" t="s">
        <v>6</v>
      </c>
      <c r="F1" t="s">
        <v>5</v>
      </c>
      <c r="G1" t="s">
        <v>15</v>
      </c>
      <c r="H1" t="s">
        <v>16</v>
      </c>
      <c r="I1" s="3" t="s">
        <v>17</v>
      </c>
    </row>
    <row r="2" spans="1:9" x14ac:dyDescent="0.3">
      <c r="A2" s="1" t="s">
        <v>7</v>
      </c>
      <c r="B2" s="1">
        <v>2</v>
      </c>
      <c r="C2" s="1">
        <v>4</v>
      </c>
      <c r="D2">
        <v>12</v>
      </c>
      <c r="E2">
        <v>0</v>
      </c>
      <c r="F2">
        <v>0</v>
      </c>
      <c r="G2">
        <f>COUNTIF(B2:F2,"&gt;0")</f>
        <v>3</v>
      </c>
      <c r="H2">
        <f>SUM(B2:F2)</f>
        <v>18</v>
      </c>
      <c r="I2" s="4">
        <f>(G2-1)/LN(H2)</f>
        <v>0.69195251252238721</v>
      </c>
    </row>
    <row r="3" spans="1:9" x14ac:dyDescent="0.3">
      <c r="A3" s="1" t="s">
        <v>9</v>
      </c>
      <c r="B3" s="1">
        <v>0</v>
      </c>
      <c r="C3" s="1">
        <v>0</v>
      </c>
      <c r="D3">
        <v>8</v>
      </c>
      <c r="E3">
        <v>0</v>
      </c>
      <c r="F3">
        <v>3</v>
      </c>
      <c r="G3">
        <f t="shared" ref="G3:G7" si="0">COUNTIF(B3:F3,"&gt;0")</f>
        <v>2</v>
      </c>
      <c r="H3">
        <f t="shared" ref="H3:H7" si="1">SUM(B3:F3)</f>
        <v>11</v>
      </c>
      <c r="I3" s="4">
        <f t="shared" ref="I3:I7" si="2">(G3-1)/LN(H3)</f>
        <v>0.41703239142424631</v>
      </c>
    </row>
    <row r="4" spans="1:9" x14ac:dyDescent="0.3">
      <c r="A4" s="1" t="s">
        <v>10</v>
      </c>
      <c r="B4" s="1">
        <v>7</v>
      </c>
      <c r="C4" s="1">
        <v>4</v>
      </c>
      <c r="D4">
        <v>7</v>
      </c>
      <c r="E4">
        <v>1</v>
      </c>
      <c r="F4">
        <v>0</v>
      </c>
      <c r="G4">
        <f t="shared" si="0"/>
        <v>4</v>
      </c>
      <c r="H4">
        <f t="shared" si="1"/>
        <v>19</v>
      </c>
      <c r="I4" s="4">
        <f t="shared" si="2"/>
        <v>1.0188698156853258</v>
      </c>
    </row>
    <row r="5" spans="1:9" x14ac:dyDescent="0.3">
      <c r="A5" s="1" t="s">
        <v>11</v>
      </c>
      <c r="B5" s="1">
        <v>3</v>
      </c>
      <c r="C5" s="1">
        <v>15</v>
      </c>
      <c r="D5">
        <v>0</v>
      </c>
      <c r="E5">
        <v>0</v>
      </c>
      <c r="F5">
        <v>4</v>
      </c>
      <c r="G5">
        <f t="shared" si="0"/>
        <v>3</v>
      </c>
      <c r="H5">
        <f t="shared" si="1"/>
        <v>22</v>
      </c>
      <c r="I5" s="4">
        <f t="shared" si="2"/>
        <v>0.64703090629734494</v>
      </c>
    </row>
    <row r="6" spans="1:9" x14ac:dyDescent="0.3">
      <c r="A6" s="1" t="s">
        <v>13</v>
      </c>
      <c r="B6" s="1">
        <v>6</v>
      </c>
      <c r="C6" s="1">
        <v>4</v>
      </c>
      <c r="D6">
        <v>1</v>
      </c>
      <c r="E6">
        <v>4</v>
      </c>
      <c r="F6">
        <v>0</v>
      </c>
      <c r="G6">
        <f t="shared" si="0"/>
        <v>4</v>
      </c>
      <c r="H6">
        <f t="shared" si="1"/>
        <v>15</v>
      </c>
      <c r="I6" s="4">
        <f t="shared" si="2"/>
        <v>1.1078081192065652</v>
      </c>
    </row>
    <row r="7" spans="1:9" x14ac:dyDescent="0.3">
      <c r="A7" t="s">
        <v>14</v>
      </c>
      <c r="B7">
        <v>8</v>
      </c>
      <c r="C7" s="2">
        <v>4</v>
      </c>
      <c r="D7">
        <v>0</v>
      </c>
      <c r="E7">
        <v>7</v>
      </c>
      <c r="F7">
        <v>6</v>
      </c>
      <c r="G7">
        <f t="shared" si="0"/>
        <v>4</v>
      </c>
      <c r="H7">
        <f t="shared" si="1"/>
        <v>25</v>
      </c>
      <c r="I7" s="4">
        <f t="shared" si="2"/>
        <v>0.93200240183941774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>
      <selection activeCell="D6" sqref="D6"/>
    </sheetView>
  </sheetViews>
  <sheetFormatPr defaultRowHeight="14.4" x14ac:dyDescent="0.3"/>
  <cols>
    <col min="7" max="10" width="8.88671875" style="3"/>
  </cols>
  <sheetData>
    <row r="1" spans="1:10" x14ac:dyDescent="0.3">
      <c r="A1" s="1" t="s">
        <v>0</v>
      </c>
      <c r="B1" s="1" t="s">
        <v>2</v>
      </c>
      <c r="C1" s="1" t="s">
        <v>3</v>
      </c>
      <c r="D1" t="s">
        <v>4</v>
      </c>
      <c r="E1" t="s">
        <v>6</v>
      </c>
      <c r="F1" t="s">
        <v>5</v>
      </c>
      <c r="G1" s="3" t="s">
        <v>15</v>
      </c>
      <c r="H1" s="3" t="s">
        <v>16</v>
      </c>
      <c r="I1" s="3" t="s">
        <v>11</v>
      </c>
      <c r="J1" s="3" t="s">
        <v>20</v>
      </c>
    </row>
    <row r="2" spans="1:10" x14ac:dyDescent="0.3">
      <c r="A2" s="1" t="s">
        <v>7</v>
      </c>
      <c r="B2" s="1">
        <v>2</v>
      </c>
      <c r="C2" s="1">
        <v>4</v>
      </c>
      <c r="D2">
        <v>12</v>
      </c>
      <c r="E2">
        <v>0</v>
      </c>
      <c r="F2">
        <v>0</v>
      </c>
      <c r="G2" s="3">
        <f>COUNTIF(B2:F2,"&gt;0")</f>
        <v>3</v>
      </c>
      <c r="H2" s="3">
        <f>SUM(B2:F2)</f>
        <v>18</v>
      </c>
    </row>
    <row r="3" spans="1:10" x14ac:dyDescent="0.3">
      <c r="A3" s="5" t="s">
        <v>18</v>
      </c>
      <c r="B3" s="1">
        <f>B2/$H2</f>
        <v>0.1111111111111111</v>
      </c>
      <c r="C3" s="1">
        <f>C2/$H2</f>
        <v>0.22222222222222221</v>
      </c>
      <c r="D3" s="1">
        <f>D2/$H2</f>
        <v>0.66666666666666663</v>
      </c>
      <c r="E3" s="1">
        <f>E2/$H2</f>
        <v>0</v>
      </c>
      <c r="F3" s="1">
        <f>F2/$H2</f>
        <v>0</v>
      </c>
    </row>
    <row r="4" spans="1:10" x14ac:dyDescent="0.3">
      <c r="A4" s="5" t="s">
        <v>19</v>
      </c>
      <c r="B4" s="1">
        <f>B3^2</f>
        <v>1.2345679012345678E-2</v>
      </c>
      <c r="C4" s="1">
        <f t="shared" ref="C4:F4" si="0">C3^2</f>
        <v>4.9382716049382713E-2</v>
      </c>
      <c r="D4" s="1">
        <f t="shared" si="0"/>
        <v>0.44444444444444442</v>
      </c>
      <c r="E4" s="1">
        <f t="shared" si="0"/>
        <v>0</v>
      </c>
      <c r="F4" s="1">
        <f t="shared" si="0"/>
        <v>0</v>
      </c>
      <c r="I4" s="3">
        <f>SUM(B4:F4)</f>
        <v>0.50617283950617287</v>
      </c>
      <c r="J4" s="3">
        <f>1-I4</f>
        <v>0.49382716049382713</v>
      </c>
    </row>
    <row r="5" spans="1:10" x14ac:dyDescent="0.3">
      <c r="A5" s="1" t="s">
        <v>9</v>
      </c>
      <c r="B5" s="1">
        <v>0</v>
      </c>
      <c r="C5" s="1">
        <v>0</v>
      </c>
      <c r="D5">
        <v>8</v>
      </c>
      <c r="E5">
        <v>0</v>
      </c>
      <c r="F5">
        <v>3</v>
      </c>
      <c r="G5" s="3">
        <f t="shared" ref="G5" si="1">COUNTIF(B5:F5,"&gt;0")</f>
        <v>2</v>
      </c>
      <c r="H5" s="3">
        <f t="shared" ref="H5" si="2">SUM(B5:F5)</f>
        <v>11</v>
      </c>
    </row>
    <row r="6" spans="1:10" x14ac:dyDescent="0.3">
      <c r="A6" s="5" t="s">
        <v>18</v>
      </c>
      <c r="B6" s="1">
        <f>B5/$H5</f>
        <v>0</v>
      </c>
      <c r="C6" s="1">
        <f>C5/$H5</f>
        <v>0</v>
      </c>
      <c r="D6" s="1">
        <f>D5/$H5</f>
        <v>0.72727272727272729</v>
      </c>
      <c r="E6" s="1">
        <f>E5/$H5</f>
        <v>0</v>
      </c>
      <c r="F6" s="1">
        <f>F5/$H5</f>
        <v>0.27272727272727271</v>
      </c>
    </row>
    <row r="7" spans="1:10" x14ac:dyDescent="0.3">
      <c r="A7" s="5" t="s">
        <v>19</v>
      </c>
      <c r="B7" s="1">
        <f>B6^2</f>
        <v>0</v>
      </c>
      <c r="C7" s="1">
        <f t="shared" ref="C7:F7" si="3">C6^2</f>
        <v>0</v>
      </c>
      <c r="D7" s="1">
        <f t="shared" si="3"/>
        <v>0.52892561983471076</v>
      </c>
      <c r="E7" s="1">
        <f t="shared" si="3"/>
        <v>0</v>
      </c>
      <c r="F7" s="1">
        <f t="shared" si="3"/>
        <v>7.4380165289256187E-2</v>
      </c>
      <c r="I7" s="3">
        <f>SUM(B7:F7)</f>
        <v>0.60330578512396693</v>
      </c>
      <c r="J7" s="3">
        <f>1-I7</f>
        <v>0.39669421487603307</v>
      </c>
    </row>
    <row r="8" spans="1:10" x14ac:dyDescent="0.3">
      <c r="A8" s="1"/>
      <c r="B8" s="1"/>
      <c r="C8" s="1"/>
    </row>
    <row r="9" spans="1:10" x14ac:dyDescent="0.3">
      <c r="A9" s="1"/>
      <c r="B9" s="1"/>
      <c r="C9" s="1"/>
      <c r="D9" s="1"/>
      <c r="E9" s="1"/>
      <c r="F9" s="1"/>
    </row>
    <row r="10" spans="1:10" x14ac:dyDescent="0.3">
      <c r="A10" s="1"/>
      <c r="B10" s="1"/>
      <c r="C10" s="1"/>
    </row>
    <row r="11" spans="1:10" x14ac:dyDescent="0.3">
      <c r="A11" s="1"/>
      <c r="B11" s="1"/>
      <c r="C11" s="1"/>
      <c r="D11" s="1"/>
      <c r="E11" s="1"/>
      <c r="F11" s="1"/>
    </row>
    <row r="12" spans="1:10" x14ac:dyDescent="0.3">
      <c r="A12" s="1"/>
      <c r="B12" s="1"/>
      <c r="C12" s="1"/>
    </row>
    <row r="13" spans="1:10" x14ac:dyDescent="0.3">
      <c r="A13" s="1"/>
      <c r="B13" s="1"/>
      <c r="C13" s="1"/>
      <c r="D13" s="1"/>
      <c r="E13" s="1"/>
      <c r="F13" s="1"/>
    </row>
    <row r="14" spans="1:10" x14ac:dyDescent="0.3">
      <c r="C14" s="2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selection activeCell="G24" sqref="G24"/>
    </sheetView>
  </sheetViews>
  <sheetFormatPr defaultRowHeight="14.4" x14ac:dyDescent="0.3"/>
  <cols>
    <col min="7" max="9" width="8.88671875" style="3"/>
  </cols>
  <sheetData>
    <row r="1" spans="1:9" x14ac:dyDescent="0.3">
      <c r="A1" s="1" t="s">
        <v>0</v>
      </c>
      <c r="B1" s="1" t="s">
        <v>2</v>
      </c>
      <c r="C1" s="1" t="s">
        <v>3</v>
      </c>
      <c r="D1" t="s">
        <v>4</v>
      </c>
      <c r="E1" t="s">
        <v>6</v>
      </c>
      <c r="F1" t="s">
        <v>5</v>
      </c>
      <c r="G1" s="3" t="s">
        <v>15</v>
      </c>
      <c r="H1" s="3" t="s">
        <v>16</v>
      </c>
      <c r="I1" s="3" t="s">
        <v>23</v>
      </c>
    </row>
    <row r="2" spans="1:9" x14ac:dyDescent="0.3">
      <c r="A2" s="1" t="s">
        <v>7</v>
      </c>
      <c r="B2" s="1">
        <v>2</v>
      </c>
      <c r="C2" s="1">
        <v>4</v>
      </c>
      <c r="D2">
        <v>12</v>
      </c>
      <c r="E2">
        <v>0</v>
      </c>
      <c r="F2">
        <v>0</v>
      </c>
      <c r="G2" s="3">
        <f>COUNTIF(B2:F2,"&gt;0")</f>
        <v>3</v>
      </c>
      <c r="H2" s="3">
        <f>SUM(B2:F2)</f>
        <v>18</v>
      </c>
    </row>
    <row r="3" spans="1:9" x14ac:dyDescent="0.3">
      <c r="A3" s="5" t="s">
        <v>18</v>
      </c>
      <c r="B3" s="1">
        <f>B2/$H2</f>
        <v>0.1111111111111111</v>
      </c>
      <c r="C3" s="1">
        <f t="shared" ref="C3:F3" si="0">C2/$H2</f>
        <v>0.22222222222222221</v>
      </c>
      <c r="D3" s="1">
        <f t="shared" si="0"/>
        <v>0.66666666666666663</v>
      </c>
      <c r="E3" s="1">
        <f t="shared" si="0"/>
        <v>0</v>
      </c>
      <c r="F3" s="1">
        <f t="shared" si="0"/>
        <v>0</v>
      </c>
    </row>
    <row r="4" spans="1:9" x14ac:dyDescent="0.3">
      <c r="A4" s="5" t="s">
        <v>21</v>
      </c>
      <c r="B4" s="1">
        <f>LN(B3)</f>
        <v>-2.1972245773362196</v>
      </c>
      <c r="C4" s="1">
        <f t="shared" ref="C4:D4" si="1">LN(C3)</f>
        <v>-1.5040773967762742</v>
      </c>
      <c r="D4" s="1">
        <f t="shared" si="1"/>
        <v>-0.40546510810816444</v>
      </c>
      <c r="E4" s="1">
        <v>0</v>
      </c>
      <c r="F4" s="1">
        <v>0</v>
      </c>
    </row>
    <row r="5" spans="1:9" x14ac:dyDescent="0.3">
      <c r="A5" s="5" t="s">
        <v>22</v>
      </c>
      <c r="B5" s="1">
        <f>B3*B4</f>
        <v>-0.24413606414846883</v>
      </c>
      <c r="C5" s="1">
        <f t="shared" ref="C5:F5" si="2">C3*C4</f>
        <v>-0.33423942150583869</v>
      </c>
      <c r="D5" s="1">
        <f t="shared" si="2"/>
        <v>-0.27031007207210961</v>
      </c>
      <c r="E5" s="1">
        <f t="shared" si="2"/>
        <v>0</v>
      </c>
      <c r="F5" s="1">
        <f t="shared" si="2"/>
        <v>0</v>
      </c>
      <c r="I5" s="3">
        <f>-SUM(B5:F5)</f>
        <v>0.84868555772641718</v>
      </c>
    </row>
    <row r="6" spans="1:9" x14ac:dyDescent="0.3">
      <c r="A6" s="1" t="s">
        <v>9</v>
      </c>
      <c r="B6" s="1">
        <v>0</v>
      </c>
      <c r="C6" s="1">
        <v>0</v>
      </c>
      <c r="D6">
        <v>8</v>
      </c>
      <c r="E6">
        <v>0</v>
      </c>
      <c r="F6">
        <v>3</v>
      </c>
      <c r="G6" s="3">
        <f t="shared" ref="G6" si="3">COUNTIF(B6:F6,"&gt;0")</f>
        <v>2</v>
      </c>
      <c r="H6" s="3">
        <f t="shared" ref="H6" si="4">SUM(B6:F6)</f>
        <v>11</v>
      </c>
    </row>
    <row r="7" spans="1:9" x14ac:dyDescent="0.3">
      <c r="A7" s="5" t="s">
        <v>18</v>
      </c>
      <c r="B7" s="1">
        <f>B6/$H6</f>
        <v>0</v>
      </c>
      <c r="C7" s="1">
        <f t="shared" ref="C7" si="5">C6/$H6</f>
        <v>0</v>
      </c>
      <c r="D7" s="1">
        <f t="shared" ref="D7" si="6">D6/$H6</f>
        <v>0.72727272727272729</v>
      </c>
      <c r="E7" s="1">
        <f t="shared" ref="E7" si="7">E6/$H6</f>
        <v>0</v>
      </c>
      <c r="F7" s="1">
        <f t="shared" ref="F7" si="8">F6/$H6</f>
        <v>0.27272727272727271</v>
      </c>
    </row>
    <row r="8" spans="1:9" x14ac:dyDescent="0.3">
      <c r="A8" s="5" t="s">
        <v>21</v>
      </c>
      <c r="B8" s="1">
        <v>0</v>
      </c>
      <c r="C8" s="1">
        <v>0</v>
      </c>
      <c r="D8" s="1">
        <f t="shared" ref="D8:F8" si="9">LN(D7)</f>
        <v>-0.31845373111853459</v>
      </c>
      <c r="E8" s="1">
        <v>0</v>
      </c>
      <c r="F8" s="1">
        <f t="shared" si="9"/>
        <v>-1.2992829841302609</v>
      </c>
    </row>
    <row r="9" spans="1:9" x14ac:dyDescent="0.3">
      <c r="A9" s="5" t="s">
        <v>22</v>
      </c>
      <c r="B9" s="1">
        <f>B7*B8</f>
        <v>0</v>
      </c>
      <c r="C9" s="1">
        <f t="shared" ref="C9" si="10">C7*C8</f>
        <v>0</v>
      </c>
      <c r="D9" s="1">
        <f t="shared" ref="D9:F9" si="11">D7*D8</f>
        <v>-0.23160271354075243</v>
      </c>
      <c r="E9" s="1">
        <f t="shared" ref="E9" si="12">E7*E8</f>
        <v>0</v>
      </c>
      <c r="F9" s="1">
        <f t="shared" si="11"/>
        <v>-0.35434990476279837</v>
      </c>
      <c r="I9" s="3">
        <f>-SUM(B9:F9)</f>
        <v>0.58595261830355083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Plan1</vt:lpstr>
      <vt:lpstr>Riq.Margalef</vt:lpstr>
      <vt:lpstr>Simpson</vt:lpstr>
      <vt:lpstr>Shannon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Mauricio</cp:lastModifiedBy>
  <cp:revision>6</cp:revision>
  <dcterms:created xsi:type="dcterms:W3CDTF">2006-09-16T00:00:00Z</dcterms:created>
  <dcterms:modified xsi:type="dcterms:W3CDTF">2017-09-06T04:19:57Z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